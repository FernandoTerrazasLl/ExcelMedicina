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DESPACHO" sheetId="1" r:id="rId1"/>
    <sheet name="01_CONFIG" sheetId="2" r:id="rId2"/>
    <sheet name="02_MEDICAMENTOS" sheetId="3" r:id="rId3"/>
    <sheet name="03_LOTES" sheetId="4" r:id="rId4"/>
    <sheet name="04_MOVIMIENTOS" sheetId="5" r:id="rId5"/>
    <sheet name="05_KARDEX" sheetId="6" r:id="rId6"/>
    <sheet name="06_BRIGADAS" sheetId="7" r:id="rId7"/>
    <sheet name="07_KITS" sheetId="8" r:id="rId8"/>
    <sheet name="08_PROVEEDORES" sheetId="9" r:id="rId9"/>
    <sheet name="09_DONANTES" sheetId="10" r:id="rId10"/>
    <sheet name="10_USUARIOS" sheetId="11" r:id="rId11"/>
    <sheet name="11_CATEGORIAS" sheetId="12" r:id="rId12"/>
    <sheet name="12_UBICACIONES" sheetId="13" r:id="rId13"/>
    <sheet name="13_DASHBOARD" sheetId="14" r:id="rId14"/>
    <sheet name="14_REPORTES" sheetId="15" r:id="rId15"/>
    <sheet name="15_LOG" sheetId="16" r:id="rId16"/>
  </sheets>
  <definedNames>
    <definedName name="_xlnm._FilterDatabase" localSheetId="0" hidden="1">'00_DESPACHO'!$A$1:$F$1001</definedName>
    <definedName name="_xlnm._FilterDatabase" localSheetId="1" hidden="1">'01_CONFIG'!$A$1:$B$1001</definedName>
    <definedName name="_xlnm._FilterDatabase" localSheetId="2" hidden="1">'02_MEDICAMENTOS'!$A$1:$I$1001</definedName>
    <definedName name="_xlnm._FilterDatabase" localSheetId="3" hidden="1">'03_LOTES'!$A$1:$K$1001</definedName>
    <definedName name="_xlnm._FilterDatabase" localSheetId="4" hidden="1">'04_MOVIMIENTOS'!$A$1:$J$1001</definedName>
    <definedName name="_xlnm._FilterDatabase" localSheetId="5" hidden="1">'05_KARDEX'!$A$1:$K$1001</definedName>
    <definedName name="_xlnm._FilterDatabase" localSheetId="6" hidden="1">'06_BRIGADAS'!$A$1:$K$1001</definedName>
    <definedName name="_xlnm._FilterDatabase" localSheetId="7" hidden="1">'07_KITS'!$A$1:$F$1001</definedName>
    <definedName name="_xlnm._FilterDatabase" localSheetId="8" hidden="1">'08_PROVEEDORES'!$A$1:$G$1001</definedName>
    <definedName name="_xlnm._FilterDatabase" localSheetId="9" hidden="1">'09_DONANTES'!$A$1:$F$1001</definedName>
    <definedName name="_xlnm._FilterDatabase" localSheetId="10" hidden="1">'10_USUARIOS'!$A$1:$F$1001</definedName>
    <definedName name="_xlnm._FilterDatabase" localSheetId="11" hidden="1">'11_CATEGORIAS'!$A$1:$D$1001</definedName>
    <definedName name="_xlnm._FilterDatabase" localSheetId="12" hidden="1">'12_UBICACIONES'!$A$1:$C$1001</definedName>
    <definedName name="_xlnm._FilterDatabase" localSheetId="13" hidden="1">'13_DASHBOARD'!$A$1:$B$1001</definedName>
    <definedName name="_xlnm._FilterDatabase" localSheetId="14" hidden="1">'14_REPORTES'!$A$1:$D$1001</definedName>
    <definedName name="_xlnm._FilterDatabase" localSheetId="15" hidden="1">'15_LOG'!$A$1:$E$1001</definedName>
  </definedNames>
  <calcPr calcId="124519" fullCalcOnLoad="1"/>
</workbook>
</file>

<file path=xl/sharedStrings.xml><?xml version="1.0" encoding="utf-8"?>
<sst xmlns="http://schemas.openxmlformats.org/spreadsheetml/2006/main" count="4802" uniqueCount="1740">
  <si>
    <t>Fecha</t>
  </si>
  <si>
    <t>Medicamento</t>
  </si>
  <si>
    <t>Cantidad</t>
  </si>
  <si>
    <t>Destinatario</t>
  </si>
  <si>
    <t>Ubicación</t>
  </si>
  <si>
    <t>Estado Acción</t>
  </si>
  <si>
    <t>Parámetro</t>
  </si>
  <si>
    <t>Valor</t>
  </si>
  <si>
    <t>Principio Activo</t>
  </si>
  <si>
    <t>Concentración</t>
  </si>
  <si>
    <t>Forma Farmacéutica</t>
  </si>
  <si>
    <t>Categoría</t>
  </si>
  <si>
    <t>Stock Actual</t>
  </si>
  <si>
    <t>Nombre Completo</t>
  </si>
  <si>
    <t>Código</t>
  </si>
  <si>
    <t>Código LINAME</t>
  </si>
  <si>
    <t>Estado</t>
  </si>
  <si>
    <t>ID</t>
  </si>
  <si>
    <t>Lote</t>
  </si>
  <si>
    <t>Cantidad Inicial</t>
  </si>
  <si>
    <t>Disponible</t>
  </si>
  <si>
    <t>Proveedor</t>
  </si>
  <si>
    <t>Fecha Fabricación</t>
  </si>
  <si>
    <t>Fecha Vencimiento</t>
  </si>
  <si>
    <t>Costo Unitario</t>
  </si>
  <si>
    <t>Hora</t>
  </si>
  <si>
    <t>Tipo</t>
  </si>
  <si>
    <t>Destino</t>
  </si>
  <si>
    <t>Responsable</t>
  </si>
  <si>
    <t>Observaciones</t>
  </si>
  <si>
    <t>ID Movimiento</t>
  </si>
  <si>
    <t>Stock Anterior</t>
  </si>
  <si>
    <t>Stock Nuevo</t>
  </si>
  <si>
    <t>Nombre Brigada</t>
  </si>
  <si>
    <t>Lugar</t>
  </si>
  <si>
    <t>Paciente</t>
  </si>
  <si>
    <t>Kit</t>
  </si>
  <si>
    <t>Contacto</t>
  </si>
  <si>
    <t>Teléfono</t>
  </si>
  <si>
    <t>Correo</t>
  </si>
  <si>
    <t>Dirección</t>
  </si>
  <si>
    <t>Donante</t>
  </si>
  <si>
    <t>Nombre</t>
  </si>
  <si>
    <t>Cargo</t>
  </si>
  <si>
    <t>Rol</t>
  </si>
  <si>
    <t>Descripción</t>
  </si>
  <si>
    <t>Indicador</t>
  </si>
  <si>
    <t>Usuario</t>
  </si>
  <si>
    <t>Acción</t>
  </si>
  <si>
    <t>Detalle</t>
  </si>
  <si>
    <t>CAT001</t>
  </si>
  <si>
    <t>Analgésicos y Antiinflamatorios</t>
  </si>
  <si>
    <t>Medicamentos para el dolor e inflamación</t>
  </si>
  <si>
    <t>ACTIVO</t>
  </si>
  <si>
    <t>CAT002</t>
  </si>
  <si>
    <t>Antibióticos</t>
  </si>
  <si>
    <t>Tratamiento de infecciones bacterianas</t>
  </si>
  <si>
    <t>CAT003</t>
  </si>
  <si>
    <t>Antihipertensivos</t>
  </si>
  <si>
    <t>Control de la presión arterial</t>
  </si>
  <si>
    <t>CAT004</t>
  </si>
  <si>
    <t>Hipoglucemiantes</t>
  </si>
  <si>
    <t>Control de la diabetes</t>
  </si>
  <si>
    <t>CAT005</t>
  </si>
  <si>
    <t>Antifúngicos</t>
  </si>
  <si>
    <t>Tratamiento de hongos</t>
  </si>
  <si>
    <t>CAT006</t>
  </si>
  <si>
    <t>Vitaminas y Suplementos</t>
  </si>
  <si>
    <t>Nutrición y anemia</t>
  </si>
  <si>
    <t>CAT007</t>
  </si>
  <si>
    <t>Gastrointestinales</t>
  </si>
  <si>
    <t>Protección gástrica</t>
  </si>
  <si>
    <t>CAT008</t>
  </si>
  <si>
    <t>Otros</t>
  </si>
  <si>
    <t>Otras especialidades</t>
  </si>
  <si>
    <t>Abacavir</t>
  </si>
  <si>
    <t>300 mg</t>
  </si>
  <si>
    <t>Comprimido</t>
  </si>
  <si>
    <t>MED-00001</t>
  </si>
  <si>
    <t>Abiraterona Acetato</t>
  </si>
  <si>
    <t>250 mg</t>
  </si>
  <si>
    <t>MED-00002</t>
  </si>
  <si>
    <t>Ac. Ursodeoxicolico</t>
  </si>
  <si>
    <t>Cápsula</t>
  </si>
  <si>
    <t>MED-00003</t>
  </si>
  <si>
    <t>Aceite mineral</t>
  </si>
  <si>
    <t>40%</t>
  </si>
  <si>
    <t>Emulsión oral</t>
  </si>
  <si>
    <t>MED-00004</t>
  </si>
  <si>
    <t>Aceite vitaminado (alimento)</t>
  </si>
  <si>
    <t>Según disponibilidad</t>
  </si>
  <si>
    <t>MED-00005</t>
  </si>
  <si>
    <t>Acetazolamida</t>
  </si>
  <si>
    <t>MED-00006</t>
  </si>
  <si>
    <t>Acetil Cisteina</t>
  </si>
  <si>
    <t>10%</t>
  </si>
  <si>
    <t>Inyectable</t>
  </si>
  <si>
    <t>MED-00007</t>
  </si>
  <si>
    <t>Aciclovir</t>
  </si>
  <si>
    <t>5%</t>
  </si>
  <si>
    <t>Crema dérmica</t>
  </si>
  <si>
    <t>MED-00008</t>
  </si>
  <si>
    <t>400 mg</t>
  </si>
  <si>
    <t>MED-00009</t>
  </si>
  <si>
    <t>200 mg/5 ml</t>
  </si>
  <si>
    <t>Suspensión</t>
  </si>
  <si>
    <t>MED-00010</t>
  </si>
  <si>
    <t>200 mg</t>
  </si>
  <si>
    <t>MED-00011</t>
  </si>
  <si>
    <t>800 mg</t>
  </si>
  <si>
    <t>MED-00012</t>
  </si>
  <si>
    <t>MED-00013</t>
  </si>
  <si>
    <t>500 mg</t>
  </si>
  <si>
    <t>MED-00014</t>
  </si>
  <si>
    <t>3%</t>
  </si>
  <si>
    <t>Crema o Pomada oftálmica</t>
  </si>
  <si>
    <t>MED-00015</t>
  </si>
  <si>
    <t>Acido p-aminosalicilico</t>
  </si>
  <si>
    <t>4 g</t>
  </si>
  <si>
    <t>Polvo para solución oral</t>
  </si>
  <si>
    <t>MED-00016</t>
  </si>
  <si>
    <t>Adenosina</t>
  </si>
  <si>
    <t>6 mg/2 ml</t>
  </si>
  <si>
    <t>MED-00017</t>
  </si>
  <si>
    <t>Agentes con gelatina</t>
  </si>
  <si>
    <t>Solución parenteral de gran volúmen</t>
  </si>
  <si>
    <t>MED-00018</t>
  </si>
  <si>
    <t>Agua para inyección</t>
  </si>
  <si>
    <t>5 ml</t>
  </si>
  <si>
    <t>MED-00019</t>
  </si>
  <si>
    <t>Albendazol</t>
  </si>
  <si>
    <t>MED-00020</t>
  </si>
  <si>
    <t>MED-00021</t>
  </si>
  <si>
    <t>Albúmina humana</t>
  </si>
  <si>
    <t>20%</t>
  </si>
  <si>
    <t>MED-00022</t>
  </si>
  <si>
    <t>Alcohol etílico (Etanol)</t>
  </si>
  <si>
    <t>70% a 95%</t>
  </si>
  <si>
    <t>Solución 1 l</t>
  </si>
  <si>
    <t>MED-00023</t>
  </si>
  <si>
    <t>Alimentos Terapéutico Listo para Uso (ATLU)</t>
  </si>
  <si>
    <t>Según concentración estándar</t>
  </si>
  <si>
    <t>Polvo, Pasta o Granulado</t>
  </si>
  <si>
    <t>MED-00024</t>
  </si>
  <si>
    <t>Alopurinol</t>
  </si>
  <si>
    <t>MED-00025</t>
  </si>
  <si>
    <t>Alprazolam</t>
  </si>
  <si>
    <t>0,5 mg</t>
  </si>
  <si>
    <t>Comprimido ranurado</t>
  </si>
  <si>
    <t>MED-00026</t>
  </si>
  <si>
    <t>Amfotericina B</t>
  </si>
  <si>
    <t>50 mg</t>
  </si>
  <si>
    <t>MED-00027</t>
  </si>
  <si>
    <t>Amikacina</t>
  </si>
  <si>
    <t>500mg/2 ml</t>
  </si>
  <si>
    <t>MED-00028</t>
  </si>
  <si>
    <t>Aminofilina</t>
  </si>
  <si>
    <t>250 mg/10 ml</t>
  </si>
  <si>
    <t>MED-00029</t>
  </si>
  <si>
    <t>MED-00030</t>
  </si>
  <si>
    <t>Aminoácidos</t>
  </si>
  <si>
    <t>Solución parenteral de gran volumen</t>
  </si>
  <si>
    <t>MED-00031</t>
  </si>
  <si>
    <t>Amiodarona (clorhidrato)</t>
  </si>
  <si>
    <t>MED-00032</t>
  </si>
  <si>
    <t>50 mg/ml</t>
  </si>
  <si>
    <t>MED-00033</t>
  </si>
  <si>
    <t>Amitriptilina</t>
  </si>
  <si>
    <t>25 mg</t>
  </si>
  <si>
    <t>MED-00034</t>
  </si>
  <si>
    <t>Amlodipina</t>
  </si>
  <si>
    <t>10 mg</t>
  </si>
  <si>
    <t>MED-00035</t>
  </si>
  <si>
    <t>Amoxicilina</t>
  </si>
  <si>
    <t>1 g</t>
  </si>
  <si>
    <t>MED-00036</t>
  </si>
  <si>
    <t>MED-00037</t>
  </si>
  <si>
    <t>MED-00038</t>
  </si>
  <si>
    <t>500 mg/5 ml</t>
  </si>
  <si>
    <t>MED-00039</t>
  </si>
  <si>
    <t>Amoxicilina + inhibidor betalactamasa</t>
  </si>
  <si>
    <t>500 mg + Según disponibilidad</t>
  </si>
  <si>
    <t>MED-00040</t>
  </si>
  <si>
    <t>250 mg + Según disponibilidad</t>
  </si>
  <si>
    <t>MED-00041</t>
  </si>
  <si>
    <t>1 g + Según disponibilidad</t>
  </si>
  <si>
    <t>MED-00042</t>
  </si>
  <si>
    <t>875 mg + Según disponibilidad</t>
  </si>
  <si>
    <t>MED-00043</t>
  </si>
  <si>
    <t>Ampicilina</t>
  </si>
  <si>
    <t>MED-00044</t>
  </si>
  <si>
    <t>Anastrozol</t>
  </si>
  <si>
    <t>1 mg</t>
  </si>
  <si>
    <t>MED-00045</t>
  </si>
  <si>
    <t>Antigripal (Paracetamol + Antihistamínico + Vasoconstrictor con o sin Cafeína)</t>
  </si>
  <si>
    <t>MED-00046</t>
  </si>
  <si>
    <t>Antitóxina tetánica</t>
  </si>
  <si>
    <t>Norma PAI según disponibilidad</t>
  </si>
  <si>
    <t>MED-00047</t>
  </si>
  <si>
    <t>Aripiprazol</t>
  </si>
  <si>
    <t>MED-00048</t>
  </si>
  <si>
    <t>15 mg</t>
  </si>
  <si>
    <t>MED-00049</t>
  </si>
  <si>
    <t>Artemeter + Lumefantrina</t>
  </si>
  <si>
    <t>20 mg + 120 mg</t>
  </si>
  <si>
    <t>MED-00050</t>
  </si>
  <si>
    <t>Artesunato</t>
  </si>
  <si>
    <t>MED-00051</t>
  </si>
  <si>
    <t>60 mg</t>
  </si>
  <si>
    <t>MED-00052</t>
  </si>
  <si>
    <t>Artesunato + Mefloquina</t>
  </si>
  <si>
    <t>25 mg + 55 mg</t>
  </si>
  <si>
    <t>MED-00053</t>
  </si>
  <si>
    <t>100 mg + 220 mg</t>
  </si>
  <si>
    <t>MED-00054</t>
  </si>
  <si>
    <t>Asparaginasa</t>
  </si>
  <si>
    <t>10.000 UI</t>
  </si>
  <si>
    <t>MED-00055</t>
  </si>
  <si>
    <t>Atazanavir (sulfato)</t>
  </si>
  <si>
    <t>Cápsula o Comprimido</t>
  </si>
  <si>
    <t>MED-00056</t>
  </si>
  <si>
    <t>Atazanavir + Ritonavir</t>
  </si>
  <si>
    <t>300 mg + 100 mg</t>
  </si>
  <si>
    <t>MED-00057</t>
  </si>
  <si>
    <t>Atenolol</t>
  </si>
  <si>
    <t>100 mg</t>
  </si>
  <si>
    <t>MED-00058</t>
  </si>
  <si>
    <t>Atorvastatina</t>
  </si>
  <si>
    <t>MED-00059</t>
  </si>
  <si>
    <t>20 mg</t>
  </si>
  <si>
    <t>MED-00060</t>
  </si>
  <si>
    <t>Atracurio besilato</t>
  </si>
  <si>
    <t>10 mg/ml</t>
  </si>
  <si>
    <t>MED-00061</t>
  </si>
  <si>
    <t>Atropina sulfato</t>
  </si>
  <si>
    <t>1 mg/ml</t>
  </si>
  <si>
    <t>MED-00062</t>
  </si>
  <si>
    <t>1%</t>
  </si>
  <si>
    <t>Solución oftálmica</t>
  </si>
  <si>
    <t>MED-00063</t>
  </si>
  <si>
    <t>Azatioprina</t>
  </si>
  <si>
    <t>MED-00064</t>
  </si>
  <si>
    <t>20 mg/ml</t>
  </si>
  <si>
    <t>MED-00065</t>
  </si>
  <si>
    <t>Azitromicina</t>
  </si>
  <si>
    <t>MED-00066</t>
  </si>
  <si>
    <t>MED-00067</t>
  </si>
  <si>
    <t>Bacitracina + Neomicina sulfato</t>
  </si>
  <si>
    <t>500 UI + 5 mg/g</t>
  </si>
  <si>
    <t>Crema o Pomada</t>
  </si>
  <si>
    <t>MED-00068</t>
  </si>
  <si>
    <t>Basiliximab</t>
  </si>
  <si>
    <t>Polvo para inyectable</t>
  </si>
  <si>
    <t>MED-00069</t>
  </si>
  <si>
    <t>Beclometasona dipropionato</t>
  </si>
  <si>
    <t>50 mcg/inhalación</t>
  </si>
  <si>
    <t>Aerosol</t>
  </si>
  <si>
    <t>MED-00070</t>
  </si>
  <si>
    <t>Bedaquilina</t>
  </si>
  <si>
    <t>MED-00071</t>
  </si>
  <si>
    <t>Bencilpenicilina benzatínica</t>
  </si>
  <si>
    <t>600.000 UI</t>
  </si>
  <si>
    <t>MED-00072</t>
  </si>
  <si>
    <t>1.200.000 UI</t>
  </si>
  <si>
    <t>MED-00073</t>
  </si>
  <si>
    <t>2.400.000 UI</t>
  </si>
  <si>
    <t>MED-00074</t>
  </si>
  <si>
    <t>Bencilpenicilina procaínica</t>
  </si>
  <si>
    <t>400.000 UI</t>
  </si>
  <si>
    <t>MED-00075</t>
  </si>
  <si>
    <t>800.000 UI</t>
  </si>
  <si>
    <t>MED-00076</t>
  </si>
  <si>
    <t>Bencilpenicilina sódica</t>
  </si>
  <si>
    <t>1.000.000 UI</t>
  </si>
  <si>
    <t>MED-00077</t>
  </si>
  <si>
    <t>30.000.000 UI</t>
  </si>
  <si>
    <t>MED-00078</t>
  </si>
  <si>
    <t>Benznidazol</t>
  </si>
  <si>
    <t>MED-00079</t>
  </si>
  <si>
    <t>12,5 mg</t>
  </si>
  <si>
    <t>MED-00080</t>
  </si>
  <si>
    <t>MED-00081</t>
  </si>
  <si>
    <t>Benzoato de bencilo</t>
  </si>
  <si>
    <t>20% - 25%</t>
  </si>
  <si>
    <t>Solución o Loción</t>
  </si>
  <si>
    <t>MED-00082</t>
  </si>
  <si>
    <t>Betametasona (fosfato)</t>
  </si>
  <si>
    <t>4 mg</t>
  </si>
  <si>
    <t>MED-00083</t>
  </si>
  <si>
    <t>Betametasona (valerato)</t>
  </si>
  <si>
    <t>0,1%</t>
  </si>
  <si>
    <t>MED-00084</t>
  </si>
  <si>
    <t>Bevacizumab</t>
  </si>
  <si>
    <t>25 mg/ml</t>
  </si>
  <si>
    <t>MED-00085</t>
  </si>
  <si>
    <t>Bicalutamida</t>
  </si>
  <si>
    <t>MED-00086</t>
  </si>
  <si>
    <t>Bicarbonato de sodio</t>
  </si>
  <si>
    <t>20 g</t>
  </si>
  <si>
    <t>Polvo</t>
  </si>
  <si>
    <t>MED-00087</t>
  </si>
  <si>
    <t>8%</t>
  </si>
  <si>
    <t>MED-00088</t>
  </si>
  <si>
    <t>Bicarbonato de sodio p/hemodiálisis</t>
  </si>
  <si>
    <t>Frasco por 720 g</t>
  </si>
  <si>
    <t>MED-00089</t>
  </si>
  <si>
    <t>Biperideno clorhidrato</t>
  </si>
  <si>
    <t>MED-00090</t>
  </si>
  <si>
    <t>Bisacodilo</t>
  </si>
  <si>
    <t>5 mg</t>
  </si>
  <si>
    <t>MED-00091</t>
  </si>
  <si>
    <t>Bisoprolol</t>
  </si>
  <si>
    <t>MED-00092</t>
  </si>
  <si>
    <t>Bleomicina</t>
  </si>
  <si>
    <t>15 UI</t>
  </si>
  <si>
    <t>MED-00093</t>
  </si>
  <si>
    <t>Bortezomib</t>
  </si>
  <si>
    <t>3,5 mg</t>
  </si>
  <si>
    <t>MED-00094</t>
  </si>
  <si>
    <t>Bromocriptina</t>
  </si>
  <si>
    <t>2,5 mg</t>
  </si>
  <si>
    <t>MED-00095</t>
  </si>
  <si>
    <t>MED-00096</t>
  </si>
  <si>
    <t>Budesonida</t>
  </si>
  <si>
    <t>100 mcg</t>
  </si>
  <si>
    <t>MED-00097</t>
  </si>
  <si>
    <t>Bupivacaina clorhidrato</t>
  </si>
  <si>
    <t>0,5%</t>
  </si>
  <si>
    <t>MED-00098</t>
  </si>
  <si>
    <t>Bupivacaina clorhidrato (pesada)</t>
  </si>
  <si>
    <t>MED-00099</t>
  </si>
  <si>
    <t>Bupivacaina clorhidrato con Epinefrina sin conservante</t>
  </si>
  <si>
    <t>0,5% 1:200.000</t>
  </si>
  <si>
    <t>MED-00100</t>
  </si>
  <si>
    <t>Busulfano</t>
  </si>
  <si>
    <t>2 mg</t>
  </si>
  <si>
    <t>MED-00101</t>
  </si>
  <si>
    <t>Butilbromuro de Hioscina (Butilescopolamina)</t>
  </si>
  <si>
    <t>MED-00102</t>
  </si>
  <si>
    <t>Solución oral gotas</t>
  </si>
  <si>
    <t>MED-00103</t>
  </si>
  <si>
    <t>MED-00104</t>
  </si>
  <si>
    <t>Cabergolina</t>
  </si>
  <si>
    <t>MED-00105</t>
  </si>
  <si>
    <t>Cafeina citrato</t>
  </si>
  <si>
    <t>MED-00106</t>
  </si>
  <si>
    <t>Calcio (carbonato o citrato)</t>
  </si>
  <si>
    <t>500 mg (ión calcio)</t>
  </si>
  <si>
    <t>MED-00107</t>
  </si>
  <si>
    <t>Calcio + Vitamina D</t>
  </si>
  <si>
    <t>500 mg (ión calcio); Según disponibilidad</t>
  </si>
  <si>
    <t>Comprimido o Cápsula</t>
  </si>
  <si>
    <t>MED-00108</t>
  </si>
  <si>
    <t>Capecitabine</t>
  </si>
  <si>
    <t>MED-00109</t>
  </si>
  <si>
    <t>Capreomicina</t>
  </si>
  <si>
    <t>MED-00110</t>
  </si>
  <si>
    <t>Carbamazepina</t>
  </si>
  <si>
    <t>MED-00111</t>
  </si>
  <si>
    <t>2% (100 mg/5 ml)</t>
  </si>
  <si>
    <t>Suspensión o Jarabe</t>
  </si>
  <si>
    <t>MED-00112</t>
  </si>
  <si>
    <t>Carbetocina</t>
  </si>
  <si>
    <t>100 mcg/ml</t>
  </si>
  <si>
    <t>MED-00113</t>
  </si>
  <si>
    <t>Carboplatino</t>
  </si>
  <si>
    <t>450 mg</t>
  </si>
  <si>
    <t>MED-00114</t>
  </si>
  <si>
    <t>150 mg</t>
  </si>
  <si>
    <t>MED-00115</t>
  </si>
  <si>
    <t>Carbón medicinal activado</t>
  </si>
  <si>
    <t>MED-00116</t>
  </si>
  <si>
    <t>Carvedilol</t>
  </si>
  <si>
    <t>6,25 mg</t>
  </si>
  <si>
    <t>MED-00117</t>
  </si>
  <si>
    <t>MED-00118</t>
  </si>
  <si>
    <t>Cefazolina</t>
  </si>
  <si>
    <t>MED-00119</t>
  </si>
  <si>
    <t>Cefepima</t>
  </si>
  <si>
    <t>MED-00120</t>
  </si>
  <si>
    <t>Cefixima</t>
  </si>
  <si>
    <t>MED-00121</t>
  </si>
  <si>
    <t>100 mg/5 ml</t>
  </si>
  <si>
    <t>MED-00122</t>
  </si>
  <si>
    <t>Cefotaxima</t>
  </si>
  <si>
    <t>MED-00123</t>
  </si>
  <si>
    <t>Cefradina</t>
  </si>
  <si>
    <t>MED-00124</t>
  </si>
  <si>
    <t>250 mg/5 ml</t>
  </si>
  <si>
    <t>MED-00125</t>
  </si>
  <si>
    <t>Ceftazidima</t>
  </si>
  <si>
    <t>MED-00126</t>
  </si>
  <si>
    <t>Ceftriaxona</t>
  </si>
  <si>
    <t>MED-00127</t>
  </si>
  <si>
    <t>Cetirizina</t>
  </si>
  <si>
    <t>MED-00128</t>
  </si>
  <si>
    <t>5 mg/5 ml</t>
  </si>
  <si>
    <t>Jarabe</t>
  </si>
  <si>
    <t>MED-00129</t>
  </si>
  <si>
    <t>Cianocobalamina (Vitamina B12)</t>
  </si>
  <si>
    <t>MED-00130</t>
  </si>
  <si>
    <t>Ciclofosfamida</t>
  </si>
  <si>
    <t>MED-00131</t>
  </si>
  <si>
    <t>MED-00132</t>
  </si>
  <si>
    <t>MED-00133</t>
  </si>
  <si>
    <t>Cicloserina</t>
  </si>
  <si>
    <t>MED-00134</t>
  </si>
  <si>
    <t>Ciclosporina</t>
  </si>
  <si>
    <t>100 mg/ml</t>
  </si>
  <si>
    <t>Solución oral</t>
  </si>
  <si>
    <t>MED-00135</t>
  </si>
  <si>
    <t>Cápsula blanda</t>
  </si>
  <si>
    <t>MED-00136</t>
  </si>
  <si>
    <t>MED-00137</t>
  </si>
  <si>
    <t>MED-00138</t>
  </si>
  <si>
    <t>MED-00139</t>
  </si>
  <si>
    <t>Ciprofloxacina</t>
  </si>
  <si>
    <t>MED-00140</t>
  </si>
  <si>
    <t>MED-00141</t>
  </si>
  <si>
    <t>MED-00142</t>
  </si>
  <si>
    <t>0,3%</t>
  </si>
  <si>
    <t>MED-00143</t>
  </si>
  <si>
    <t>Ciproterona (acetato)</t>
  </si>
  <si>
    <t>MED-00144</t>
  </si>
  <si>
    <t>Ciproterona acetato + Estradiol valerato</t>
  </si>
  <si>
    <t>2 mg + 1 mg</t>
  </si>
  <si>
    <t>MED-00145</t>
  </si>
  <si>
    <t>2 mg + 0,035 mg</t>
  </si>
  <si>
    <t>MED-00146</t>
  </si>
  <si>
    <t>Cisplatino</t>
  </si>
  <si>
    <t>MED-00147</t>
  </si>
  <si>
    <t>MED-00148</t>
  </si>
  <si>
    <t>Citarabina</t>
  </si>
  <si>
    <t>MED-00149</t>
  </si>
  <si>
    <t>MED-00150</t>
  </si>
  <si>
    <t>Claritromicina</t>
  </si>
  <si>
    <t>MED-00151</t>
  </si>
  <si>
    <t>MED-00152</t>
  </si>
  <si>
    <t>Clindamicina</t>
  </si>
  <si>
    <t>75 mg/5 ml</t>
  </si>
  <si>
    <t>MED-00153</t>
  </si>
  <si>
    <t>MED-00154</t>
  </si>
  <si>
    <t>600 mg</t>
  </si>
  <si>
    <t>MED-00155</t>
  </si>
  <si>
    <t>Clobetasol</t>
  </si>
  <si>
    <t>0,05%</t>
  </si>
  <si>
    <t>MED-00156</t>
  </si>
  <si>
    <t>Solución</t>
  </si>
  <si>
    <t>MED-00157</t>
  </si>
  <si>
    <t>Clofazimina</t>
  </si>
  <si>
    <t>MED-00158</t>
  </si>
  <si>
    <t>MED-00159</t>
  </si>
  <si>
    <t>Clomifeno citrato</t>
  </si>
  <si>
    <t>MED-00160</t>
  </si>
  <si>
    <t>Clomipramina</t>
  </si>
  <si>
    <t>75 mg</t>
  </si>
  <si>
    <t>MED-00161</t>
  </si>
  <si>
    <t>Clomipramina (clorhidrato)</t>
  </si>
  <si>
    <t>25 mg/2 ml</t>
  </si>
  <si>
    <t>MED-00162</t>
  </si>
  <si>
    <t>Clonazepam</t>
  </si>
  <si>
    <t>MED-00163</t>
  </si>
  <si>
    <t>2,5 mg/ml</t>
  </si>
  <si>
    <t>MED-00164</t>
  </si>
  <si>
    <t>Clopidogrel</t>
  </si>
  <si>
    <t>MED-00165</t>
  </si>
  <si>
    <t>Cloranfenicol</t>
  </si>
  <si>
    <t>MED-00166</t>
  </si>
  <si>
    <t>MED-00167</t>
  </si>
  <si>
    <t>Ungüento oftálmico</t>
  </si>
  <si>
    <t>MED-00168</t>
  </si>
  <si>
    <t>Cloranfenicol succinato sódico</t>
  </si>
  <si>
    <t>MED-00169</t>
  </si>
  <si>
    <t>Clorfenamina (Clorfeniramina)</t>
  </si>
  <si>
    <t>MED-00170</t>
  </si>
  <si>
    <t>2 mg/5 ml</t>
  </si>
  <si>
    <t>MED-00171</t>
  </si>
  <si>
    <t>MED-00172</t>
  </si>
  <si>
    <t>Clorhexidina gluconato</t>
  </si>
  <si>
    <t>MED-00173</t>
  </si>
  <si>
    <t>Cloroquina fosfato</t>
  </si>
  <si>
    <t>250 mg (150 mg base)</t>
  </si>
  <si>
    <t>MED-00174</t>
  </si>
  <si>
    <t>Clorpromazina</t>
  </si>
  <si>
    <t>MED-00175</t>
  </si>
  <si>
    <t>12,5 mg/ml</t>
  </si>
  <si>
    <t>MED-00176</t>
  </si>
  <si>
    <t>Cloruro de potasio</t>
  </si>
  <si>
    <t>1,3 mEq/ml</t>
  </si>
  <si>
    <t>MED-00177</t>
  </si>
  <si>
    <t>MED-00178</t>
  </si>
  <si>
    <t>Cloruro de sodio</t>
  </si>
  <si>
    <t>MED-00179</t>
  </si>
  <si>
    <t>Clotrimazol</t>
  </si>
  <si>
    <t>MED-00180</t>
  </si>
  <si>
    <t>Óvulo</t>
  </si>
  <si>
    <t>MED-00181</t>
  </si>
  <si>
    <t>Crema vaginal</t>
  </si>
  <si>
    <t>MED-00182</t>
  </si>
  <si>
    <t>Cloxacilina</t>
  </si>
  <si>
    <t>MED-00183</t>
  </si>
  <si>
    <t>MED-00184</t>
  </si>
  <si>
    <t>Codeína</t>
  </si>
  <si>
    <t>30 mg</t>
  </si>
  <si>
    <t>MED-00185</t>
  </si>
  <si>
    <t>10 mg/5 ml</t>
  </si>
  <si>
    <t>MED-00186</t>
  </si>
  <si>
    <t>Colchicina</t>
  </si>
  <si>
    <t>MED-00187</t>
  </si>
  <si>
    <t>Colecalciferol (Vitamina D3)</t>
  </si>
  <si>
    <t>0,25 mcg</t>
  </si>
  <si>
    <t>Cápsula blanda o Comprimido</t>
  </si>
  <si>
    <t>MED-00188</t>
  </si>
  <si>
    <t>Colistina</t>
  </si>
  <si>
    <t>MED-00189</t>
  </si>
  <si>
    <t>Complejo B (B1 + B6 + B12)</t>
  </si>
  <si>
    <t>MED-00190</t>
  </si>
  <si>
    <t>Complejo B (B1+ B6 + B12)</t>
  </si>
  <si>
    <t>MED-00191</t>
  </si>
  <si>
    <t>Complejo de vitaminas y minerales (Uso pediatría) CMV</t>
  </si>
  <si>
    <t>MED-00192</t>
  </si>
  <si>
    <t>Complemento nutricional</t>
  </si>
  <si>
    <t>MED-00193</t>
  </si>
  <si>
    <t>Complemento nutricional (Carmelo)</t>
  </si>
  <si>
    <t>MED-00194</t>
  </si>
  <si>
    <t>Complemento nutricional (Diabético)</t>
  </si>
  <si>
    <t>MED-00195</t>
  </si>
  <si>
    <t>Complemento nutricional (Nutribebé)</t>
  </si>
  <si>
    <t>MED-00196</t>
  </si>
  <si>
    <t>Contraste iodado</t>
  </si>
  <si>
    <t>Según disponibilidad (10 ml)</t>
  </si>
  <si>
    <t>MED-00197</t>
  </si>
  <si>
    <t>Según disponibilidad (50 ml)</t>
  </si>
  <si>
    <t>MED-00198</t>
  </si>
  <si>
    <t>Según disponibilidad (100 ml o 200 ml)</t>
  </si>
  <si>
    <t>MED-00199</t>
  </si>
  <si>
    <t>Corticoide + anestésico</t>
  </si>
  <si>
    <t>Supositorio</t>
  </si>
  <si>
    <t>MED-00200</t>
  </si>
  <si>
    <t>MED-00201</t>
  </si>
  <si>
    <t>Corticoide + antiinfeccioso de accion tópica</t>
  </si>
  <si>
    <t>MED-00202</t>
  </si>
  <si>
    <t>MED-00203</t>
  </si>
  <si>
    <t>Corticotrofina (ACTH)</t>
  </si>
  <si>
    <t>25 UI o 40 UI</t>
  </si>
  <si>
    <t>MED-00204</t>
  </si>
  <si>
    <t>Cotrimoxazol (Sulfametoxazol + Trimetoprima)</t>
  </si>
  <si>
    <t>800 mg + 160 mg</t>
  </si>
  <si>
    <t>MED-00205</t>
  </si>
  <si>
    <t>200 mg + 40 mg/5 ml</t>
  </si>
  <si>
    <t>MED-00206</t>
  </si>
  <si>
    <t>100 mg + 20 mg</t>
  </si>
  <si>
    <t>MED-00207</t>
  </si>
  <si>
    <t>400 mg + 80 mg</t>
  </si>
  <si>
    <t>MED-00208</t>
  </si>
  <si>
    <t>400 mg + 80 mg/5 ml</t>
  </si>
  <si>
    <t>MED-00209</t>
  </si>
  <si>
    <t>MED-00210</t>
  </si>
  <si>
    <t>Dacarbazina</t>
  </si>
  <si>
    <t>MED-00211</t>
  </si>
  <si>
    <t>Daclatasvir</t>
  </si>
  <si>
    <t>MED-00212</t>
  </si>
  <si>
    <t>Dactinomicina</t>
  </si>
  <si>
    <t>0,5 mg/ml</t>
  </si>
  <si>
    <t>MED-00213</t>
  </si>
  <si>
    <t>Dapsona</t>
  </si>
  <si>
    <t>MED-00214</t>
  </si>
  <si>
    <t>MED-00215</t>
  </si>
  <si>
    <t>Darunavir</t>
  </si>
  <si>
    <t>MED-00216</t>
  </si>
  <si>
    <t>Dasatinib</t>
  </si>
  <si>
    <t>MED-00217</t>
  </si>
  <si>
    <t>MED-00218</t>
  </si>
  <si>
    <t>70 mg</t>
  </si>
  <si>
    <t>MED-00219</t>
  </si>
  <si>
    <t>MED-00220</t>
  </si>
  <si>
    <t>Daunorrubicina</t>
  </si>
  <si>
    <t>MED-00221</t>
  </si>
  <si>
    <t>Deferoxamina mesilato</t>
  </si>
  <si>
    <t>MED-00222</t>
  </si>
  <si>
    <t>Delamanid</t>
  </si>
  <si>
    <t>MED-00223</t>
  </si>
  <si>
    <t>Desmopresina acetato</t>
  </si>
  <si>
    <t>0,1 mg/ml</t>
  </si>
  <si>
    <t>Solución nasal</t>
  </si>
  <si>
    <t>MED-00224</t>
  </si>
  <si>
    <t>Dexametasona</t>
  </si>
  <si>
    <t>MED-00225</t>
  </si>
  <si>
    <t>MED-00226</t>
  </si>
  <si>
    <t>4 mg/ml</t>
  </si>
  <si>
    <t>MED-00227</t>
  </si>
  <si>
    <t>MED-00228</t>
  </si>
  <si>
    <t>Ungüento o Pomada oftálmica</t>
  </si>
  <si>
    <t>MED-00229</t>
  </si>
  <si>
    <t>Dexmedetomidina</t>
  </si>
  <si>
    <t>MED-00230</t>
  </si>
  <si>
    <t>Dextrometorfano bromhidrato</t>
  </si>
  <si>
    <t>MED-00231</t>
  </si>
  <si>
    <t>Dextrán 70</t>
  </si>
  <si>
    <t>6%</t>
  </si>
  <si>
    <t>MED-00232</t>
  </si>
  <si>
    <t>Diazepam</t>
  </si>
  <si>
    <t>MED-00233</t>
  </si>
  <si>
    <t>MED-00234</t>
  </si>
  <si>
    <t>MED-00235</t>
  </si>
  <si>
    <t>Diclofenaco Sódico</t>
  </si>
  <si>
    <t>Pomada o Gel</t>
  </si>
  <si>
    <t>MED-00236</t>
  </si>
  <si>
    <t>MED-00237</t>
  </si>
  <si>
    <t>MED-00238</t>
  </si>
  <si>
    <t>MED-00239</t>
  </si>
  <si>
    <t>Dicloxacilina sódica</t>
  </si>
  <si>
    <t>MED-00240</t>
  </si>
  <si>
    <t>MED-00241</t>
  </si>
  <si>
    <t>Digoxina</t>
  </si>
  <si>
    <t>0,75 mg/ml</t>
  </si>
  <si>
    <t>MED-00242</t>
  </si>
  <si>
    <t>0,25 mg/ml</t>
  </si>
  <si>
    <t>MED-00243</t>
  </si>
  <si>
    <t>0,25 mg</t>
  </si>
  <si>
    <t>MED-00244</t>
  </si>
  <si>
    <t>Dimenhidrinato</t>
  </si>
  <si>
    <t>MED-00245</t>
  </si>
  <si>
    <t>MED-00246</t>
  </si>
  <si>
    <t>MED-00247</t>
  </si>
  <si>
    <t>Dimercaprol (B.A.L.)</t>
  </si>
  <si>
    <t>MED-00248</t>
  </si>
  <si>
    <t>Dinitrato de isosorbida (Isosorbide dinitrato)</t>
  </si>
  <si>
    <t>Comprimido sublingual</t>
  </si>
  <si>
    <t>MED-00249</t>
  </si>
  <si>
    <t>Dobutamina clorhidrato</t>
  </si>
  <si>
    <t>MED-00250</t>
  </si>
  <si>
    <t>Docetaxel</t>
  </si>
  <si>
    <t>40 mg/ml (2ml)</t>
  </si>
  <si>
    <t>MED-00251</t>
  </si>
  <si>
    <t>Domperidona</t>
  </si>
  <si>
    <t>MED-00252</t>
  </si>
  <si>
    <t>Dopamina clorhidrato</t>
  </si>
  <si>
    <t>MED-00253</t>
  </si>
  <si>
    <t>Dorzolamida</t>
  </si>
  <si>
    <t>2%</t>
  </si>
  <si>
    <t>MED-00254</t>
  </si>
  <si>
    <t>Doxiciclina</t>
  </si>
  <si>
    <t>MED-00255</t>
  </si>
  <si>
    <t>Doxorrubicina liposomal pegilada</t>
  </si>
  <si>
    <t>20 mg/10 ml</t>
  </si>
  <si>
    <t>MED-00256</t>
  </si>
  <si>
    <t>Doxorubicina clorhidrato (Adriamicina clorh.)</t>
  </si>
  <si>
    <t>MED-00257</t>
  </si>
  <si>
    <t>MED-00258</t>
  </si>
  <si>
    <t>Droperidol</t>
  </si>
  <si>
    <t>MED-00259</t>
  </si>
  <si>
    <t>Duloxetina</t>
  </si>
  <si>
    <t>MED-00260</t>
  </si>
  <si>
    <t>Edetato sódico de calcio (EDTA)</t>
  </si>
  <si>
    <t>MED-00261</t>
  </si>
  <si>
    <t>Efavirenz</t>
  </si>
  <si>
    <t>MED-00262</t>
  </si>
  <si>
    <t>MED-00263</t>
  </si>
  <si>
    <t>Emulsión de lípidos</t>
  </si>
  <si>
    <t>Emulsión inyectable</t>
  </si>
  <si>
    <t>MED-00264</t>
  </si>
  <si>
    <t>Enalapril maleato</t>
  </si>
  <si>
    <t>MED-00265</t>
  </si>
  <si>
    <t>Enzalutamida</t>
  </si>
  <si>
    <t>40 mg</t>
  </si>
  <si>
    <t>MED-00266</t>
  </si>
  <si>
    <t>Enzimas pancreáticas (Lipasa, Proteasa y Amilasa en combinación)</t>
  </si>
  <si>
    <t>MED-00267</t>
  </si>
  <si>
    <t>Epinefrina (Adrenalina)</t>
  </si>
  <si>
    <t>MED-00268</t>
  </si>
  <si>
    <t>Ergometrina maleato</t>
  </si>
  <si>
    <t>0,2 mg</t>
  </si>
  <si>
    <t>MED-00269</t>
  </si>
  <si>
    <t>0,2 mg/ml</t>
  </si>
  <si>
    <t>MED-00270</t>
  </si>
  <si>
    <t>Ergotamina tartrato + Cafeína</t>
  </si>
  <si>
    <t>1 mg + 100 mg</t>
  </si>
  <si>
    <t>MED-00271</t>
  </si>
  <si>
    <t>Eritromicina</t>
  </si>
  <si>
    <t>2% a 4%</t>
  </si>
  <si>
    <t>Loción</t>
  </si>
  <si>
    <t>MED-00272</t>
  </si>
  <si>
    <t>Eritromicina (estearato)</t>
  </si>
  <si>
    <t>MED-00273</t>
  </si>
  <si>
    <t>Eritromicina (etilsuccinato)</t>
  </si>
  <si>
    <t>MED-00274</t>
  </si>
  <si>
    <t>Eritropoyetina</t>
  </si>
  <si>
    <t>MED-00275</t>
  </si>
  <si>
    <t>2.000 UI</t>
  </si>
  <si>
    <t>MED-00276</t>
  </si>
  <si>
    <t>4000 UI</t>
  </si>
  <si>
    <t>MED-00277</t>
  </si>
  <si>
    <t>Erlotinib</t>
  </si>
  <si>
    <t>MED-00278</t>
  </si>
  <si>
    <t>Espiramicina</t>
  </si>
  <si>
    <t>MED-00279</t>
  </si>
  <si>
    <t>Espironolactona</t>
  </si>
  <si>
    <t>MED-00280</t>
  </si>
  <si>
    <t>MED-00281</t>
  </si>
  <si>
    <t>Estradiol + Noretisterona acetato</t>
  </si>
  <si>
    <t>2mg + 1mg</t>
  </si>
  <si>
    <t>MED-00282</t>
  </si>
  <si>
    <t>Estradiol valerianato + Norgestrel</t>
  </si>
  <si>
    <t>2 mg + 0,5 mg</t>
  </si>
  <si>
    <t>MED-00283</t>
  </si>
  <si>
    <t>Estradiol valerianato + Prasterona enantato</t>
  </si>
  <si>
    <t>4 mg + 200 mg/ml</t>
  </si>
  <si>
    <t>MED-00284</t>
  </si>
  <si>
    <t>Estreptomicina sulfato</t>
  </si>
  <si>
    <t>MED-00285</t>
  </si>
  <si>
    <t>Estreptoquinasa</t>
  </si>
  <si>
    <t>1.500.000 UI</t>
  </si>
  <si>
    <t>MED-00286</t>
  </si>
  <si>
    <t>Estrógenos conjugados</t>
  </si>
  <si>
    <t>0,625 mg</t>
  </si>
  <si>
    <t>MED-00287</t>
  </si>
  <si>
    <t>1,25 mg</t>
  </si>
  <si>
    <t>MED-00288</t>
  </si>
  <si>
    <t>MED-00289</t>
  </si>
  <si>
    <t>Etambutol</t>
  </si>
  <si>
    <t>MED-00290</t>
  </si>
  <si>
    <t>Etamsilato</t>
  </si>
  <si>
    <t>250 mg/2 ml</t>
  </si>
  <si>
    <t>MED-00291</t>
  </si>
  <si>
    <t>Eter alifático dietilamino etanol</t>
  </si>
  <si>
    <t>MED-00292</t>
  </si>
  <si>
    <t>Etilefrina</t>
  </si>
  <si>
    <t>MED-00293</t>
  </si>
  <si>
    <t>Etionamida</t>
  </si>
  <si>
    <t>MED-00294</t>
  </si>
  <si>
    <t>Etopósido</t>
  </si>
  <si>
    <t>MED-00295</t>
  </si>
  <si>
    <t>Factor IX de la coagulación</t>
  </si>
  <si>
    <t>500 UI</t>
  </si>
  <si>
    <t>MED-00296</t>
  </si>
  <si>
    <t>Factor VIII de la coagulación</t>
  </si>
  <si>
    <t>MED-00297</t>
  </si>
  <si>
    <t>Favipiravir</t>
  </si>
  <si>
    <t>Comprimido recubierto</t>
  </si>
  <si>
    <t>MED-00298</t>
  </si>
  <si>
    <t>Fenitoína</t>
  </si>
  <si>
    <t>MED-00299</t>
  </si>
  <si>
    <t>MED-00300</t>
  </si>
  <si>
    <t>Fenobarbital</t>
  </si>
  <si>
    <t>MED-00301</t>
  </si>
  <si>
    <t>Gotas</t>
  </si>
  <si>
    <t>MED-00302</t>
  </si>
  <si>
    <t>MED-00303</t>
  </si>
  <si>
    <t>Fenofibrato</t>
  </si>
  <si>
    <t>MED-00304</t>
  </si>
  <si>
    <t>Fentanilo con conservante</t>
  </si>
  <si>
    <t>0,05 mg/ml</t>
  </si>
  <si>
    <t>MED-00305</t>
  </si>
  <si>
    <t>Fentanilo sin conservante</t>
  </si>
  <si>
    <t>MED-00306</t>
  </si>
  <si>
    <t>Fibra natural</t>
  </si>
  <si>
    <t>Polvo o Granulado</t>
  </si>
  <si>
    <t>MED-00307</t>
  </si>
  <si>
    <t>Fibrinógeno humano</t>
  </si>
  <si>
    <t>MED-00308</t>
  </si>
  <si>
    <t>Filgrastrim</t>
  </si>
  <si>
    <t>300 mcg/ml</t>
  </si>
  <si>
    <t>MED-00309</t>
  </si>
  <si>
    <t>Finasterida</t>
  </si>
  <si>
    <t>MED-00310</t>
  </si>
  <si>
    <t>Fingolimod</t>
  </si>
  <si>
    <t>MED-00311</t>
  </si>
  <si>
    <t>Fitomenadiona (Vitamina K1)</t>
  </si>
  <si>
    <t>MED-00312</t>
  </si>
  <si>
    <t>Fluconazol</t>
  </si>
  <si>
    <t>MED-00313</t>
  </si>
  <si>
    <t>MED-00314</t>
  </si>
  <si>
    <t>Fludarabina</t>
  </si>
  <si>
    <t>MED-00315</t>
  </si>
  <si>
    <t>Flumazenil</t>
  </si>
  <si>
    <t>0,5 mg/5 ml</t>
  </si>
  <si>
    <t>MED-00316</t>
  </si>
  <si>
    <t>Flunarizina</t>
  </si>
  <si>
    <t>MED-00317</t>
  </si>
  <si>
    <t>Fluoresceina</t>
  </si>
  <si>
    <t>MED-00318</t>
  </si>
  <si>
    <t>Fluoresceina (sal sódica)</t>
  </si>
  <si>
    <t>0,25%</t>
  </si>
  <si>
    <t>MED-00319</t>
  </si>
  <si>
    <t>Fluorouracilo</t>
  </si>
  <si>
    <t>500 mg/10 ml</t>
  </si>
  <si>
    <t>MED-00320</t>
  </si>
  <si>
    <t>Fluoruro de sodio</t>
  </si>
  <si>
    <t>Según Programa</t>
  </si>
  <si>
    <t>Gel o Pasta</t>
  </si>
  <si>
    <t>MED-00321</t>
  </si>
  <si>
    <t>0,2%</t>
  </si>
  <si>
    <t>MED-00322</t>
  </si>
  <si>
    <t>Fluoxetina</t>
  </si>
  <si>
    <t>MED-00323</t>
  </si>
  <si>
    <t>Flutamida</t>
  </si>
  <si>
    <t>MED-00324</t>
  </si>
  <si>
    <t>Formaldehido</t>
  </si>
  <si>
    <t>40% p/v</t>
  </si>
  <si>
    <t>MED-00325</t>
  </si>
  <si>
    <t>Furosemida</t>
  </si>
  <si>
    <t>MED-00326</t>
  </si>
  <si>
    <t>MED-00327</t>
  </si>
  <si>
    <t>Gadodiamida</t>
  </si>
  <si>
    <t>287 mg/ml</t>
  </si>
  <si>
    <t>MED-00328</t>
  </si>
  <si>
    <t>Gadopentato de dimeglumina</t>
  </si>
  <si>
    <t>469 mg/ml</t>
  </si>
  <si>
    <t>MED-00329</t>
  </si>
  <si>
    <t>Gadoversetamida</t>
  </si>
  <si>
    <t>0,5mmol / ml</t>
  </si>
  <si>
    <t>MED-00330</t>
  </si>
  <si>
    <t>Gemcitabina</t>
  </si>
  <si>
    <t>MED-00331</t>
  </si>
  <si>
    <t>MED-00332</t>
  </si>
  <si>
    <t>Gemfibrozilo</t>
  </si>
  <si>
    <t>MED-00333</t>
  </si>
  <si>
    <t>Gentamicina</t>
  </si>
  <si>
    <t>MED-00334</t>
  </si>
  <si>
    <t>MED-00335</t>
  </si>
  <si>
    <t>Gentamicina sulfato</t>
  </si>
  <si>
    <t>MED-00336</t>
  </si>
  <si>
    <t>80 mg</t>
  </si>
  <si>
    <t>MED-00337</t>
  </si>
  <si>
    <t>Glibenclamida</t>
  </si>
  <si>
    <t>MED-00338</t>
  </si>
  <si>
    <t>Glicerina + carbonato de sodio</t>
  </si>
  <si>
    <t>Gotas óticas</t>
  </si>
  <si>
    <t>MED-00339</t>
  </si>
  <si>
    <t>Glicerol (Glicerina bidestilada)</t>
  </si>
  <si>
    <t>MED-00340</t>
  </si>
  <si>
    <t>Glicerol (Glicerina)</t>
  </si>
  <si>
    <t>2 ga 4 g (adulto)</t>
  </si>
  <si>
    <t>MED-00341</t>
  </si>
  <si>
    <t>1 g a 1,80 g (infantil)</t>
  </si>
  <si>
    <t>MED-00342</t>
  </si>
  <si>
    <t>Globulina Anti timocito (conejo)</t>
  </si>
  <si>
    <t>MED-00343</t>
  </si>
  <si>
    <t>Globulina Anti-timocito</t>
  </si>
  <si>
    <t>250 mg/5ml</t>
  </si>
  <si>
    <t>MED-00344</t>
  </si>
  <si>
    <t>Gluconato Cálcico (Calcio Gluconato)</t>
  </si>
  <si>
    <t>MED-00345</t>
  </si>
  <si>
    <t>Gonadotrofina coriónica</t>
  </si>
  <si>
    <t>5.000 UI/ml</t>
  </si>
  <si>
    <t>MED-00346</t>
  </si>
  <si>
    <t>Griseofulvina</t>
  </si>
  <si>
    <t>MED-00347</t>
  </si>
  <si>
    <t>125 mg/5 ml</t>
  </si>
  <si>
    <t>MED-00348</t>
  </si>
  <si>
    <t>Haloperidol</t>
  </si>
  <si>
    <t>2 mg/ml</t>
  </si>
  <si>
    <t>MED-00349</t>
  </si>
  <si>
    <t>MED-00350</t>
  </si>
  <si>
    <t>5 mg/ml</t>
  </si>
  <si>
    <t>MED-00351</t>
  </si>
  <si>
    <t>Haloperidol decanoato</t>
  </si>
  <si>
    <t>MED-00352</t>
  </si>
  <si>
    <t>Halotano</t>
  </si>
  <si>
    <t>0,01% de timol</t>
  </si>
  <si>
    <t>MED-00353</t>
  </si>
  <si>
    <t>Heparina de bajo peso molecular</t>
  </si>
  <si>
    <t>Según disponibilidad o requerimiento</t>
  </si>
  <si>
    <t>MED-00354</t>
  </si>
  <si>
    <t>Heparina sódica</t>
  </si>
  <si>
    <t>MED-00355</t>
  </si>
  <si>
    <t>Hidralazina clorhidrato</t>
  </si>
  <si>
    <t>MED-00356</t>
  </si>
  <si>
    <t>MED-00357</t>
  </si>
  <si>
    <t>Hidroclorotiazida</t>
  </si>
  <si>
    <t>MED-00358</t>
  </si>
  <si>
    <t>Hidroclorotiazida + Amilorida</t>
  </si>
  <si>
    <t>50 mg + 5 mg</t>
  </si>
  <si>
    <t>MED-00359</t>
  </si>
  <si>
    <t>Hidrocortisona acetato</t>
  </si>
  <si>
    <t>MED-00360</t>
  </si>
  <si>
    <t>Hidrocortisona succinato sódico</t>
  </si>
  <si>
    <t>MED-00361</t>
  </si>
  <si>
    <t>MED-00362</t>
  </si>
  <si>
    <t>Hidroquinona</t>
  </si>
  <si>
    <t>4% ο 5%</t>
  </si>
  <si>
    <t>MED-00363</t>
  </si>
  <si>
    <t>4% - 5%</t>
  </si>
  <si>
    <t>Crema a Pomada</t>
  </si>
  <si>
    <t>MED-00364</t>
  </si>
  <si>
    <t>Hidroxicloroquina sulfato</t>
  </si>
  <si>
    <t>MED-00365</t>
  </si>
  <si>
    <t>Hidroxiurea</t>
  </si>
  <si>
    <t>MED-00366</t>
  </si>
  <si>
    <t>Hidróxido de aluminio y magnesio</t>
  </si>
  <si>
    <t>1:1</t>
  </si>
  <si>
    <t>MED-00367</t>
  </si>
  <si>
    <t>Hierro</t>
  </si>
  <si>
    <t>100 mg - IM o IV</t>
  </si>
  <si>
    <t>MED-00368</t>
  </si>
  <si>
    <t>Hierro (como bisglicina quelato)</t>
  </si>
  <si>
    <t>30 mg/5ml</t>
  </si>
  <si>
    <t>MED-00369</t>
  </si>
  <si>
    <t>Hipoclorito de sodio</t>
  </si>
  <si>
    <t>MED-00370</t>
  </si>
  <si>
    <t>Ibuprofeno</t>
  </si>
  <si>
    <t>MED-00371</t>
  </si>
  <si>
    <t>MED-00372</t>
  </si>
  <si>
    <t>MED-00373</t>
  </si>
  <si>
    <t>Ifosfamida</t>
  </si>
  <si>
    <t>MED-00374</t>
  </si>
  <si>
    <t>Imatinib</t>
  </si>
  <si>
    <t>MED-00375</t>
  </si>
  <si>
    <t>MED-00376</t>
  </si>
  <si>
    <t>Imipenem + Cilastatina</t>
  </si>
  <si>
    <t>500 mg + 500 mg</t>
  </si>
  <si>
    <t>MED-00377</t>
  </si>
  <si>
    <t>Imipramina clorhidrato</t>
  </si>
  <si>
    <t>MED-00378</t>
  </si>
  <si>
    <t>Indometacina</t>
  </si>
  <si>
    <t>MED-00379</t>
  </si>
  <si>
    <t>MED-00380</t>
  </si>
  <si>
    <t>Inmunoglobulina anti D (RH +)</t>
  </si>
  <si>
    <t>0,1 mg/ml a 0,2 mg/ml</t>
  </si>
  <si>
    <t>MED-00381</t>
  </si>
  <si>
    <t>Inmunoglobulina humana normal</t>
  </si>
  <si>
    <t>5 g IV</t>
  </si>
  <si>
    <t>MED-00382</t>
  </si>
  <si>
    <t>Insulina Glargina</t>
  </si>
  <si>
    <t>100 UI/ml</t>
  </si>
  <si>
    <t>MED-00383</t>
  </si>
  <si>
    <t>Insulina Glulisina</t>
  </si>
  <si>
    <t>MED-00384</t>
  </si>
  <si>
    <t>Insulina recombinante humana NPH</t>
  </si>
  <si>
    <t>MED-00385</t>
  </si>
  <si>
    <t>Insulina zinc cristalina recombinante humana</t>
  </si>
  <si>
    <t>MED-00386</t>
  </si>
  <si>
    <t>Interferon alfa 2 b recombinante</t>
  </si>
  <si>
    <t>10.000.000 Ul con diluyente (1 ml)</t>
  </si>
  <si>
    <t>MED-00387</t>
  </si>
  <si>
    <t>3.000.000 UI con diluyente (1 ml)</t>
  </si>
  <si>
    <t>MED-00388</t>
  </si>
  <si>
    <t>Interferon beta</t>
  </si>
  <si>
    <t>0,3 mg</t>
  </si>
  <si>
    <t>MED-00389</t>
  </si>
  <si>
    <t>Iodo (Yodo)</t>
  </si>
  <si>
    <t>Solución hidroalcohólica</t>
  </si>
  <si>
    <t>MED-00390</t>
  </si>
  <si>
    <t>Iodo povidona (Yodopovidona)</t>
  </si>
  <si>
    <t>10% (500 g)</t>
  </si>
  <si>
    <t>MED-00391</t>
  </si>
  <si>
    <t>MED-00392</t>
  </si>
  <si>
    <t>Ipecacuana</t>
  </si>
  <si>
    <t>7%</t>
  </si>
  <si>
    <t>MED-00393</t>
  </si>
  <si>
    <t>Ipratropio bromuro</t>
  </si>
  <si>
    <t>20 mcg/dosis</t>
  </si>
  <si>
    <t>MED-00394</t>
  </si>
  <si>
    <t>Irinotecan</t>
  </si>
  <si>
    <t>MED-00395</t>
  </si>
  <si>
    <t>Isoniazida (INH)</t>
  </si>
  <si>
    <t>MED-00396</t>
  </si>
  <si>
    <t>Isosorbida Mononitrato</t>
  </si>
  <si>
    <t>MED-00397</t>
  </si>
  <si>
    <t>Ivermectina</t>
  </si>
  <si>
    <t>3 mg</t>
  </si>
  <si>
    <t>MED-00398</t>
  </si>
  <si>
    <t>6 mg</t>
  </si>
  <si>
    <t>MED-00399</t>
  </si>
  <si>
    <t>Kanamicina</t>
  </si>
  <si>
    <t>MED-00400</t>
  </si>
  <si>
    <t>Ketamina (Cetamina)</t>
  </si>
  <si>
    <t>MED-00401</t>
  </si>
  <si>
    <t>Ketoprofeno</t>
  </si>
  <si>
    <t>MED-00402</t>
  </si>
  <si>
    <t>Ketorolaco</t>
  </si>
  <si>
    <t>30 mg/ml</t>
  </si>
  <si>
    <t>MED-00403</t>
  </si>
  <si>
    <t>Ketotifeno</t>
  </si>
  <si>
    <t>MED-00404</t>
  </si>
  <si>
    <t>MED-00405</t>
  </si>
  <si>
    <t>Labetalol</t>
  </si>
  <si>
    <t>MED-00406</t>
  </si>
  <si>
    <t>Lactulosa</t>
  </si>
  <si>
    <t>65% a 67%</t>
  </si>
  <si>
    <t>MED-00407</t>
  </si>
  <si>
    <t>Lamivudina</t>
  </si>
  <si>
    <t>MED-00408</t>
  </si>
  <si>
    <t>Jarabe o Solución Oral</t>
  </si>
  <si>
    <t>MED-00409</t>
  </si>
  <si>
    <t>Lamotrigina</t>
  </si>
  <si>
    <t>MED-00410</t>
  </si>
  <si>
    <t>MED-00411</t>
  </si>
  <si>
    <t>MED-00412</t>
  </si>
  <si>
    <t>MED-00413</t>
  </si>
  <si>
    <t>Latanoprost</t>
  </si>
  <si>
    <t>50 mcg/ml</t>
  </si>
  <si>
    <t>MED-00414</t>
  </si>
  <si>
    <t>Ledipasvir + Sofosbuvir</t>
  </si>
  <si>
    <t>90 mg + 400 mg</t>
  </si>
  <si>
    <t>MED-00415</t>
  </si>
  <si>
    <t>Leflunomida</t>
  </si>
  <si>
    <t>MED-00416</t>
  </si>
  <si>
    <t>MED-00417</t>
  </si>
  <si>
    <t>Lenalidomida</t>
  </si>
  <si>
    <t>MED-00418</t>
  </si>
  <si>
    <t>MED-00419</t>
  </si>
  <si>
    <t>MED-00420</t>
  </si>
  <si>
    <t>MED-00421</t>
  </si>
  <si>
    <t>Letrozol</t>
  </si>
  <si>
    <t>MED-00422</t>
  </si>
  <si>
    <t>Leucovorina</t>
  </si>
  <si>
    <t>MED-00423</t>
  </si>
  <si>
    <t>Leucovorina (Folinato de calcio)</t>
  </si>
  <si>
    <t>MED-00424</t>
  </si>
  <si>
    <t>Leuprolide</t>
  </si>
  <si>
    <t>7,5 mg</t>
  </si>
  <si>
    <t>MED-00425</t>
  </si>
  <si>
    <t>Levodopa + Carbidopa</t>
  </si>
  <si>
    <t>250 mg + 25 mg</t>
  </si>
  <si>
    <t>MED-00426</t>
  </si>
  <si>
    <t>Levofloxacina</t>
  </si>
  <si>
    <t>MED-00427</t>
  </si>
  <si>
    <t>MED-00428</t>
  </si>
  <si>
    <t>Levonorgestrel</t>
  </si>
  <si>
    <t>0,75 mg</t>
  </si>
  <si>
    <t>MED-00429</t>
  </si>
  <si>
    <t>Implante subdérmico</t>
  </si>
  <si>
    <t>MED-00430</t>
  </si>
  <si>
    <t>1,5 mg</t>
  </si>
  <si>
    <t>MED-00431</t>
  </si>
  <si>
    <t>Levonorgestrel + Etinilestradiol</t>
  </si>
  <si>
    <t>0,150 mg + 0,03 mg</t>
  </si>
  <si>
    <t>MED-00432</t>
  </si>
  <si>
    <t>Levotiroxina sódica</t>
  </si>
  <si>
    <t>0,1 mg</t>
  </si>
  <si>
    <t>MED-00433</t>
  </si>
  <si>
    <t>0,05 mg</t>
  </si>
  <si>
    <t>MED-00434</t>
  </si>
  <si>
    <t>Lidocaína</t>
  </si>
  <si>
    <t>Gel o Jalea</t>
  </si>
  <si>
    <t>MED-00435</t>
  </si>
  <si>
    <t>Cartucho dental</t>
  </si>
  <si>
    <t>MED-00436</t>
  </si>
  <si>
    <t>Lidocaína clorhidrato</t>
  </si>
  <si>
    <t>Solución para atomización</t>
  </si>
  <si>
    <t>MED-00437</t>
  </si>
  <si>
    <t>Lidocaína clorhidrato + Epinefrina</t>
  </si>
  <si>
    <t>2% 1:200.000</t>
  </si>
  <si>
    <t>MED-00438</t>
  </si>
  <si>
    <t>MED-00439</t>
  </si>
  <si>
    <t>Lidocaína clorhidrato sin conservante</t>
  </si>
  <si>
    <t>MED-00440</t>
  </si>
  <si>
    <t>Linezolid</t>
  </si>
  <si>
    <t>MED-00441</t>
  </si>
  <si>
    <t>Litio carbonato</t>
  </si>
  <si>
    <t>MED-00442</t>
  </si>
  <si>
    <t>Loperamida</t>
  </si>
  <si>
    <t>MED-00443</t>
  </si>
  <si>
    <t>Lopinavir + Ritonavir</t>
  </si>
  <si>
    <t>200 mg + 50 mg</t>
  </si>
  <si>
    <t>MED-00444</t>
  </si>
  <si>
    <t>80 mg + 20 mg/ml</t>
  </si>
  <si>
    <t>MED-00445</t>
  </si>
  <si>
    <t>Losartán</t>
  </si>
  <si>
    <t>MED-00446</t>
  </si>
  <si>
    <t>Lágrimas artificiales</t>
  </si>
  <si>
    <t>0,3% ο 1%</t>
  </si>
  <si>
    <t>MED-00447</t>
  </si>
  <si>
    <t>Gel</t>
  </si>
  <si>
    <t>MED-00448</t>
  </si>
  <si>
    <t>Mebendazol</t>
  </si>
  <si>
    <t>MED-00449</t>
  </si>
  <si>
    <t>MED-00450</t>
  </si>
  <si>
    <t>MED-00451</t>
  </si>
  <si>
    <t>Medroxiprogesterona acetato</t>
  </si>
  <si>
    <t>150 mg/ml</t>
  </si>
  <si>
    <t>MED-00452</t>
  </si>
  <si>
    <t>MED-00453</t>
  </si>
  <si>
    <t>104 mg/0,65ml</t>
  </si>
  <si>
    <t>MED-00454</t>
  </si>
  <si>
    <t>Mefloquina (clorhidrato)</t>
  </si>
  <si>
    <t>MED-00455</t>
  </si>
  <si>
    <t>Meglumina antimoniato</t>
  </si>
  <si>
    <t>1,5 g/5 ml</t>
  </si>
  <si>
    <t>MED-00456</t>
  </si>
  <si>
    <t>Meglumina diatrizoato</t>
  </si>
  <si>
    <t>70% o 76% (20 ml)</t>
  </si>
  <si>
    <t>MED-00457</t>
  </si>
  <si>
    <t>70% o 76% (50 ml)</t>
  </si>
  <si>
    <t>MED-00458</t>
  </si>
  <si>
    <t>Melfalan</t>
  </si>
  <si>
    <t>MED-00459</t>
  </si>
  <si>
    <t>Melfalán</t>
  </si>
  <si>
    <t>MED-00460</t>
  </si>
  <si>
    <t>Meloxicam</t>
  </si>
  <si>
    <t>MED-00461</t>
  </si>
  <si>
    <t>Mercaptopurina</t>
  </si>
  <si>
    <t>MED-00462</t>
  </si>
  <si>
    <t>Meropenem</t>
  </si>
  <si>
    <t>MED-00463</t>
  </si>
  <si>
    <t>Mesalazina</t>
  </si>
  <si>
    <t>MED-00464</t>
  </si>
  <si>
    <t>1g</t>
  </si>
  <si>
    <t>MED-00465</t>
  </si>
  <si>
    <t>Mesna (Mercapto etilsulfonato sódico)</t>
  </si>
  <si>
    <t>MED-00466</t>
  </si>
  <si>
    <t>Metadona</t>
  </si>
  <si>
    <t>MED-00467</t>
  </si>
  <si>
    <t>Metamizol (Dipirona)</t>
  </si>
  <si>
    <t>MED-00468</t>
  </si>
  <si>
    <t>Metformina</t>
  </si>
  <si>
    <t>850 mg</t>
  </si>
  <si>
    <t>MED-00469</t>
  </si>
  <si>
    <t>MED-00470</t>
  </si>
  <si>
    <t>Metildopa (Alfametildopa)</t>
  </si>
  <si>
    <t>MED-00471</t>
  </si>
  <si>
    <t>Metilfenidato</t>
  </si>
  <si>
    <t>MED-00472</t>
  </si>
  <si>
    <t>Metilprednisolona succinato sódico</t>
  </si>
  <si>
    <t>MED-00473</t>
  </si>
  <si>
    <t>Metoclopramida</t>
  </si>
  <si>
    <t>MED-00474</t>
  </si>
  <si>
    <t>10mg/2ml</t>
  </si>
  <si>
    <t>MED-00475</t>
  </si>
  <si>
    <t>0,35% ο 0,5%</t>
  </si>
  <si>
    <t>MED-00476</t>
  </si>
  <si>
    <t>Metotrexato</t>
  </si>
  <si>
    <t>MED-00477</t>
  </si>
  <si>
    <t>MED-00478</t>
  </si>
  <si>
    <t>MED-00479</t>
  </si>
  <si>
    <t>Metronidazol</t>
  </si>
  <si>
    <t>MED-00480</t>
  </si>
  <si>
    <t>MED-00481</t>
  </si>
  <si>
    <t>MED-00482</t>
  </si>
  <si>
    <t>MED-00483</t>
  </si>
  <si>
    <t>MED-00484</t>
  </si>
  <si>
    <t>Micofenolato de mofetilo</t>
  </si>
  <si>
    <t>MED-00485</t>
  </si>
  <si>
    <t>Micronutrientes (Vit. C + Vit A + Fe + Zn + Ac. Fólico) (Chispitas nutricionales)</t>
  </si>
  <si>
    <t>MED-00486</t>
  </si>
  <si>
    <t>Midazolam</t>
  </si>
  <si>
    <t>15 mg/3 ml</t>
  </si>
  <si>
    <t>MED-00487</t>
  </si>
  <si>
    <t>Mifepristona</t>
  </si>
  <si>
    <t>MED-00488</t>
  </si>
  <si>
    <t>Milrinona</t>
  </si>
  <si>
    <t>MED-00489</t>
  </si>
  <si>
    <t>Minociclina</t>
  </si>
  <si>
    <t>MED-00490</t>
  </si>
  <si>
    <t>Misoprostol</t>
  </si>
  <si>
    <t>200 mcg</t>
  </si>
  <si>
    <t>MED-00491</t>
  </si>
  <si>
    <t>25 mcg</t>
  </si>
  <si>
    <t>Comprimido vaginal</t>
  </si>
  <si>
    <t>MED-00492</t>
  </si>
  <si>
    <t>Mitomicina</t>
  </si>
  <si>
    <t>MED-00493</t>
  </si>
  <si>
    <t>Mivacuronio</t>
  </si>
  <si>
    <t>MED-00494</t>
  </si>
  <si>
    <t>Montelukast</t>
  </si>
  <si>
    <t>MED-00495</t>
  </si>
  <si>
    <t>MED-00496</t>
  </si>
  <si>
    <t>Morfina</t>
  </si>
  <si>
    <t>MED-00497</t>
  </si>
  <si>
    <t>Morfina (con y sin conservante)</t>
  </si>
  <si>
    <t>MED-00498</t>
  </si>
  <si>
    <t>Moxifloxacina</t>
  </si>
  <si>
    <t>MED-00499</t>
  </si>
  <si>
    <t>Multivitaminas</t>
  </si>
  <si>
    <t>MED-00500</t>
  </si>
  <si>
    <t>MED-00501</t>
  </si>
  <si>
    <t>Polvo Liofilizado</t>
  </si>
  <si>
    <t>MED-00502</t>
  </si>
  <si>
    <t>Nafazolina clorhidrato</t>
  </si>
  <si>
    <t>MED-00503</t>
  </si>
  <si>
    <t>Naloxona</t>
  </si>
  <si>
    <t>0,4 mg/ml</t>
  </si>
  <si>
    <t>MED-00504</t>
  </si>
  <si>
    <t>Naratriptan</t>
  </si>
  <si>
    <t>MED-00505</t>
  </si>
  <si>
    <t>Neostigmina</t>
  </si>
  <si>
    <t>MED-00506</t>
  </si>
  <si>
    <t>Nevirapina</t>
  </si>
  <si>
    <t>MED-00507</t>
  </si>
  <si>
    <t>MED-00508</t>
  </si>
  <si>
    <t>Niclosamida</t>
  </si>
  <si>
    <t>MED-00509</t>
  </si>
  <si>
    <t>Nifedipino</t>
  </si>
  <si>
    <t>MED-00510</t>
  </si>
  <si>
    <t>Nifurtimox</t>
  </si>
  <si>
    <t>120 mg</t>
  </si>
  <si>
    <t>MED-00511</t>
  </si>
  <si>
    <t>MED-00512</t>
  </si>
  <si>
    <t>MED-00513</t>
  </si>
  <si>
    <t>Nimodipina</t>
  </si>
  <si>
    <t>MED-00514</t>
  </si>
  <si>
    <t>MED-00515</t>
  </si>
  <si>
    <t>Nimotuzumab</t>
  </si>
  <si>
    <t>MED-00516</t>
  </si>
  <si>
    <t>Nistatina</t>
  </si>
  <si>
    <t>500.000 UI</t>
  </si>
  <si>
    <t>MED-00517</t>
  </si>
  <si>
    <t>500.000 UI/5 ml</t>
  </si>
  <si>
    <t>MED-00518</t>
  </si>
  <si>
    <t>100.000 Ul/g</t>
  </si>
  <si>
    <t>MED-00519</t>
  </si>
  <si>
    <t>100.000 UI</t>
  </si>
  <si>
    <t>MED-00520</t>
  </si>
  <si>
    <t>Nitazoxanida</t>
  </si>
  <si>
    <t>MED-00521</t>
  </si>
  <si>
    <t>MED-00522</t>
  </si>
  <si>
    <t>Nitrofural (Nitrofurazona)</t>
  </si>
  <si>
    <t>0,2% (450 g)</t>
  </si>
  <si>
    <t>MED-00523</t>
  </si>
  <si>
    <t>Nitrofurantoína</t>
  </si>
  <si>
    <t>MED-00524</t>
  </si>
  <si>
    <t>25 mg/5 ml</t>
  </si>
  <si>
    <t>MED-00525</t>
  </si>
  <si>
    <t>Nitroglicerina (Trinitrato de glicerol)</t>
  </si>
  <si>
    <t>MED-00526</t>
  </si>
  <si>
    <t>Nitroprusiato de sodio</t>
  </si>
  <si>
    <t>MED-00527</t>
  </si>
  <si>
    <t>Noradrenalina</t>
  </si>
  <si>
    <t>MED-00528</t>
  </si>
  <si>
    <t>Noretisterona</t>
  </si>
  <si>
    <t>MED-00529</t>
  </si>
  <si>
    <t>Norgestrel + Etinilestradiol</t>
  </si>
  <si>
    <t>0,3 mg + 0,03 mg ó 0,5 mg + 0,05 mg</t>
  </si>
  <si>
    <t>MED-00530</t>
  </si>
  <si>
    <t>Ofloxacina</t>
  </si>
  <si>
    <t>MED-00531</t>
  </si>
  <si>
    <t>MED-00532</t>
  </si>
  <si>
    <t>Oligoelementos para nutricion parenteral</t>
  </si>
  <si>
    <t>MED-00533</t>
  </si>
  <si>
    <t>Omeprazol</t>
  </si>
  <si>
    <t>MED-00534</t>
  </si>
  <si>
    <t>40 mg/ml</t>
  </si>
  <si>
    <t>MED-00535</t>
  </si>
  <si>
    <t>Ondansetrón</t>
  </si>
  <si>
    <t>8 mg</t>
  </si>
  <si>
    <t>MED-00536</t>
  </si>
  <si>
    <t>MED-00537</t>
  </si>
  <si>
    <t>Oseltamivir</t>
  </si>
  <si>
    <t>MED-00538</t>
  </si>
  <si>
    <t>30 mg/5 ml</t>
  </si>
  <si>
    <t>MED-00539</t>
  </si>
  <si>
    <t>12 mg/ml</t>
  </si>
  <si>
    <t>MED-00540</t>
  </si>
  <si>
    <t>Oxaliplatino</t>
  </si>
  <si>
    <t>MED-00541</t>
  </si>
  <si>
    <t>MED-00542</t>
  </si>
  <si>
    <t>Oxido de Zinc con o sin aceite</t>
  </si>
  <si>
    <t>Pasta o Pomada</t>
  </si>
  <si>
    <t>MED-00543</t>
  </si>
  <si>
    <t>Oxitocina</t>
  </si>
  <si>
    <t>5 Ul/ml o 10 Ul/ml</t>
  </si>
  <si>
    <t>MED-00544</t>
  </si>
  <si>
    <t>Oxígeno</t>
  </si>
  <si>
    <t>93%-99%</t>
  </si>
  <si>
    <t>Gas</t>
  </si>
  <si>
    <t>MED-00545</t>
  </si>
  <si>
    <t>Paclitaxel</t>
  </si>
  <si>
    <t>MED-00546</t>
  </si>
  <si>
    <t>300 mg/50ml</t>
  </si>
  <si>
    <t>MED-00547</t>
  </si>
  <si>
    <t>Paracetamol (Acetaminofeno)</t>
  </si>
  <si>
    <t>MED-00548</t>
  </si>
  <si>
    <t>120 mg/5 ml o 125 mg/5 ml</t>
  </si>
  <si>
    <t>MED-00549</t>
  </si>
  <si>
    <t>MED-00550</t>
  </si>
  <si>
    <t>MED-00551</t>
  </si>
  <si>
    <t>MED-00552</t>
  </si>
  <si>
    <t>1 gr</t>
  </si>
  <si>
    <t>MED-00553</t>
  </si>
  <si>
    <t>Pazopanib</t>
  </si>
  <si>
    <t>MED-00554</t>
  </si>
  <si>
    <t>Pegaspargasa</t>
  </si>
  <si>
    <t>750 mg/ml</t>
  </si>
  <si>
    <t>Pleglabe frasco vial</t>
  </si>
  <si>
    <t>MED-00555</t>
  </si>
  <si>
    <t>Penicilamina</t>
  </si>
  <si>
    <t>MED-00556</t>
  </si>
  <si>
    <t>Pentamidina</t>
  </si>
  <si>
    <t>MED-00557</t>
  </si>
  <si>
    <t>MED-00558</t>
  </si>
  <si>
    <t>Permanganato de potasio</t>
  </si>
  <si>
    <t>1:10.000</t>
  </si>
  <si>
    <t>Solución acuosa</t>
  </si>
  <si>
    <t>MED-00559</t>
  </si>
  <si>
    <t>Permetrina</t>
  </si>
  <si>
    <t>MED-00560</t>
  </si>
  <si>
    <t>MED-00561</t>
  </si>
  <si>
    <t>Pertuzumab</t>
  </si>
  <si>
    <t>420 mg/14 ml</t>
  </si>
  <si>
    <t>MED-00562</t>
  </si>
  <si>
    <t>Peróxido de Benzoílo</t>
  </si>
  <si>
    <t>MED-00563</t>
  </si>
  <si>
    <t>Crema, Pomada o Gel</t>
  </si>
  <si>
    <t>MED-00564</t>
  </si>
  <si>
    <t>Peróxido de hidrógeno (Agua oxigenada)</t>
  </si>
  <si>
    <t>2% ο 3%</t>
  </si>
  <si>
    <t>MED-00565</t>
  </si>
  <si>
    <t>Petidina (Meperidina)</t>
  </si>
  <si>
    <t>MED-00566</t>
  </si>
  <si>
    <t>Piperacilina + tazobactam</t>
  </si>
  <si>
    <t>4 g/500 mg</t>
  </si>
  <si>
    <t>MED-00567</t>
  </si>
  <si>
    <t>Pirantel pamoato</t>
  </si>
  <si>
    <t>MED-00568</t>
  </si>
  <si>
    <t>MED-00569</t>
  </si>
  <si>
    <t>Pirazinamida</t>
  </si>
  <si>
    <t>MED-00570</t>
  </si>
  <si>
    <t>Piridostigmina</t>
  </si>
  <si>
    <t>MED-00571</t>
  </si>
  <si>
    <t>Piridoxina clorhidrato (Vitamina B6)</t>
  </si>
  <si>
    <t>MED-00572</t>
  </si>
  <si>
    <t>MED-00573</t>
  </si>
  <si>
    <t>Pirimetamina</t>
  </si>
  <si>
    <t>MED-00574</t>
  </si>
  <si>
    <t>Pralidoxima</t>
  </si>
  <si>
    <t>MED-00575</t>
  </si>
  <si>
    <t>Prazicuantel</t>
  </si>
  <si>
    <t>MED-00576</t>
  </si>
  <si>
    <t>Prednisona</t>
  </si>
  <si>
    <t>MED-00577</t>
  </si>
  <si>
    <t>MED-00578</t>
  </si>
  <si>
    <t>MED-00579</t>
  </si>
  <si>
    <t>Pregabalina</t>
  </si>
  <si>
    <t>MED-00580</t>
  </si>
  <si>
    <t>MED-00581</t>
  </si>
  <si>
    <t>MED-00582</t>
  </si>
  <si>
    <t>Primaquina (base)</t>
  </si>
  <si>
    <t>MED-00583</t>
  </si>
  <si>
    <t>15 mg/5 ml</t>
  </si>
  <si>
    <t>MED-00584</t>
  </si>
  <si>
    <t>MED-00585</t>
  </si>
  <si>
    <t>Progesterona</t>
  </si>
  <si>
    <t>MED-00586</t>
  </si>
  <si>
    <t>Propiltiouracilo</t>
  </si>
  <si>
    <t>MED-00587</t>
  </si>
  <si>
    <t>Propinoxato</t>
  </si>
  <si>
    <t>MED-00588</t>
  </si>
  <si>
    <t>MED-00589</t>
  </si>
  <si>
    <t>Propofol</t>
  </si>
  <si>
    <t>MED-00590</t>
  </si>
  <si>
    <t>Propranolol</t>
  </si>
  <si>
    <t>MED-00591</t>
  </si>
  <si>
    <t>MED-00592</t>
  </si>
  <si>
    <t>Protamina Sulfato</t>
  </si>
  <si>
    <t>MED-00593</t>
  </si>
  <si>
    <t>Proteinas para alimentación enteral (alimento)</t>
  </si>
  <si>
    <t>MED-00594</t>
  </si>
  <si>
    <t>Proximetacaina (Proparacaina)</t>
  </si>
  <si>
    <t>MED-00595</t>
  </si>
  <si>
    <t>Quetiapina</t>
  </si>
  <si>
    <t>MED-00596</t>
  </si>
  <si>
    <t>Quinina (bisulfato o sulfato)</t>
  </si>
  <si>
    <t>MED-00597</t>
  </si>
  <si>
    <t>Quinina (diclorhidrato)</t>
  </si>
  <si>
    <t>MED-00598</t>
  </si>
  <si>
    <t>Raltegravir (potasico)</t>
  </si>
  <si>
    <t>MED-00599</t>
  </si>
  <si>
    <t>Ranitidina</t>
  </si>
  <si>
    <t>MED-00600</t>
  </si>
  <si>
    <t>MED-00601</t>
  </si>
  <si>
    <t>Remifentanilo</t>
  </si>
  <si>
    <t>MED-00602</t>
  </si>
  <si>
    <t>Resina de Podofilo (Podofilina)</t>
  </si>
  <si>
    <t>10% - 25%</t>
  </si>
  <si>
    <t>Solución tópica</t>
  </si>
  <si>
    <t>MED-00603</t>
  </si>
  <si>
    <t>Resorcinol</t>
  </si>
  <si>
    <t>MED-00604</t>
  </si>
  <si>
    <t>Retinol (Vitamina A)</t>
  </si>
  <si>
    <t>Cápsula o Perla</t>
  </si>
  <si>
    <t>MED-00605</t>
  </si>
  <si>
    <t>25.000 UI</t>
  </si>
  <si>
    <t>MED-00606</t>
  </si>
  <si>
    <t>MED-00607</t>
  </si>
  <si>
    <t>200.000 UI</t>
  </si>
  <si>
    <t>MED-00608</t>
  </si>
  <si>
    <t>Rifampicina</t>
  </si>
  <si>
    <t>MED-00609</t>
  </si>
  <si>
    <t>MED-00610</t>
  </si>
  <si>
    <t>MED-00611</t>
  </si>
  <si>
    <t>Rifampicina + Isoniazida (INH)</t>
  </si>
  <si>
    <t>300 mg + 150 mg</t>
  </si>
  <si>
    <t>MED-00612</t>
  </si>
  <si>
    <t>Rifampicina, Clofazimina, Dapsona</t>
  </si>
  <si>
    <t>300 mg + 50 mg + 50 mg</t>
  </si>
  <si>
    <t>MED-00613</t>
  </si>
  <si>
    <t>300 mg + 100 mg + 100 mg</t>
  </si>
  <si>
    <t>MED-00614</t>
  </si>
  <si>
    <t>Rifampicina, Dapsona</t>
  </si>
  <si>
    <t>300 mg + 50 mg</t>
  </si>
  <si>
    <t>MED-00615</t>
  </si>
  <si>
    <t>MED-00616</t>
  </si>
  <si>
    <t>Risperidona</t>
  </si>
  <si>
    <t>MED-00617</t>
  </si>
  <si>
    <t>Ritodrina</t>
  </si>
  <si>
    <t>MED-00618</t>
  </si>
  <si>
    <t>MED-00619</t>
  </si>
  <si>
    <t>Ritonavir</t>
  </si>
  <si>
    <t>MED-00620</t>
  </si>
  <si>
    <t>Rituximab</t>
  </si>
  <si>
    <t>500 mg/50 ml</t>
  </si>
  <si>
    <t>MED-00621</t>
  </si>
  <si>
    <t>100 mg/10 ml</t>
  </si>
  <si>
    <t>MED-00622</t>
  </si>
  <si>
    <t>Rivaroxabán</t>
  </si>
  <si>
    <t>MED-00623</t>
  </si>
  <si>
    <t>Rocuronio bromuro</t>
  </si>
  <si>
    <t>MED-00624</t>
  </si>
  <si>
    <t>Rosuvastatina</t>
  </si>
  <si>
    <t>MED-00625</t>
  </si>
  <si>
    <t>Salbutamol</t>
  </si>
  <si>
    <t>Solución para nebulización</t>
  </si>
  <si>
    <t>MED-00626</t>
  </si>
  <si>
    <t>MED-00627</t>
  </si>
  <si>
    <t>0,1 mg/inhalación</t>
  </si>
  <si>
    <t>MED-00628</t>
  </si>
  <si>
    <t>Sales de rehidratación oral (SRO) baja osmolaridad</t>
  </si>
  <si>
    <t>Sobres</t>
  </si>
  <si>
    <t>MED-00629</t>
  </si>
  <si>
    <t>Salmeterol + Fluticasona</t>
  </si>
  <si>
    <t>25 mcg + 125 mcg</t>
  </si>
  <si>
    <t>MED-00630</t>
  </si>
  <si>
    <t>Sevoflurano (Trifluorometil etil)</t>
  </si>
  <si>
    <t>250 ml</t>
  </si>
  <si>
    <t>MED-00631</t>
  </si>
  <si>
    <t>Sildenafilo</t>
  </si>
  <si>
    <t>MED-00632</t>
  </si>
  <si>
    <t>Simeticona</t>
  </si>
  <si>
    <t>3% 4%</t>
  </si>
  <si>
    <t>MED-00633</t>
  </si>
  <si>
    <t>MED-00634</t>
  </si>
  <si>
    <t>Sofosbuvir</t>
  </si>
  <si>
    <t>MED-00635</t>
  </si>
  <si>
    <t>Solucion Acida</t>
  </si>
  <si>
    <t>MED-00636</t>
  </si>
  <si>
    <t>Solucion de preservación de organos sólidos HTK</t>
  </si>
  <si>
    <t>MED-00637</t>
  </si>
  <si>
    <t>Solución Básica</t>
  </si>
  <si>
    <t>MED-00638</t>
  </si>
  <si>
    <t>Solución Fisiológica</t>
  </si>
  <si>
    <t>0,9% (500 ml)</t>
  </si>
  <si>
    <t>MED-00639</t>
  </si>
  <si>
    <t>0,9% (1.000 ml)</t>
  </si>
  <si>
    <t>MED-00640</t>
  </si>
  <si>
    <t>0,9% (150 ml)</t>
  </si>
  <si>
    <t>Solución parenteral</t>
  </si>
  <si>
    <t>MED-00641</t>
  </si>
  <si>
    <t>0,9% (100 ml)</t>
  </si>
  <si>
    <t>MED-00642</t>
  </si>
  <si>
    <t>0,9% (15 a 30 ml)</t>
  </si>
  <si>
    <t>Solución Nasal</t>
  </si>
  <si>
    <t>MED-00643</t>
  </si>
  <si>
    <t>Solución de Manitol</t>
  </si>
  <si>
    <t>20% (500 ml)</t>
  </si>
  <si>
    <t>MED-00644</t>
  </si>
  <si>
    <t>Solución de glucosa</t>
  </si>
  <si>
    <t>5% (500 ml)</t>
  </si>
  <si>
    <t>MED-00645</t>
  </si>
  <si>
    <t>5% (1.000 ml)</t>
  </si>
  <si>
    <t>MED-00646</t>
  </si>
  <si>
    <t>10% (500 ml)</t>
  </si>
  <si>
    <t>MED-00647</t>
  </si>
  <si>
    <t>10% (1.000 ml)</t>
  </si>
  <si>
    <t>MED-00648</t>
  </si>
  <si>
    <t>50% (20 ml)</t>
  </si>
  <si>
    <t>MED-00649</t>
  </si>
  <si>
    <t>50% (500 ml)</t>
  </si>
  <si>
    <t>MED-00650</t>
  </si>
  <si>
    <t>10% (250 ml)</t>
  </si>
  <si>
    <t>MED-00651</t>
  </si>
  <si>
    <t>Solución glucosada clorurada</t>
  </si>
  <si>
    <t>500 ml</t>
  </si>
  <si>
    <t>MED-00652</t>
  </si>
  <si>
    <t>1.000 ml</t>
  </si>
  <si>
    <t>MED-00653</t>
  </si>
  <si>
    <t>Solución para dialisis intraperitoneal (de acuerdo a composición apropiada)</t>
  </si>
  <si>
    <t>MED-00654</t>
  </si>
  <si>
    <t>Solución para dialisis peritoneal I</t>
  </si>
  <si>
    <t>MED-00655</t>
  </si>
  <si>
    <t>Solución para dialisis peritoneal II</t>
  </si>
  <si>
    <t>MED-00656</t>
  </si>
  <si>
    <t>Solución ringer lactato</t>
  </si>
  <si>
    <t>MED-00657</t>
  </si>
  <si>
    <t>MED-00658</t>
  </si>
  <si>
    <t>Solución ringer normal</t>
  </si>
  <si>
    <t>MED-00659</t>
  </si>
  <si>
    <t>MED-00660</t>
  </si>
  <si>
    <t>Somatropina</t>
  </si>
  <si>
    <t>4UI (1,33 mg)</t>
  </si>
  <si>
    <t>MED-00661</t>
  </si>
  <si>
    <t>Sucralfato</t>
  </si>
  <si>
    <t>1g/5ml</t>
  </si>
  <si>
    <t>MED-00662</t>
  </si>
  <si>
    <t>Suero Antiescorpionico</t>
  </si>
  <si>
    <t>MED-00663</t>
  </si>
  <si>
    <t>Suero Antilatrodectus</t>
  </si>
  <si>
    <t>MED-00664</t>
  </si>
  <si>
    <t>Suero Antiofidico Botrópico Crotálico</t>
  </si>
  <si>
    <t>MED-00665</t>
  </si>
  <si>
    <t>Suero Antiofidico Botrópico Laquésico</t>
  </si>
  <si>
    <t>MED-00666</t>
  </si>
  <si>
    <t>Suero Antirrábico (heterólogo)</t>
  </si>
  <si>
    <t>MED-00667</t>
  </si>
  <si>
    <t>Sulfadiazina de plata</t>
  </si>
  <si>
    <t>MED-00668</t>
  </si>
  <si>
    <t>Sulfadoxina + Pirimetamina</t>
  </si>
  <si>
    <t>500 mg + 25 mg</t>
  </si>
  <si>
    <t>MED-00669</t>
  </si>
  <si>
    <t>Sulfato de Magnesio</t>
  </si>
  <si>
    <t>20 g a 30 g</t>
  </si>
  <si>
    <t>Granulado</t>
  </si>
  <si>
    <t>MED-00670</t>
  </si>
  <si>
    <t>Sulfato de bario</t>
  </si>
  <si>
    <t>MED-00671</t>
  </si>
  <si>
    <t>Polvo para enema</t>
  </si>
  <si>
    <t>MED-00672</t>
  </si>
  <si>
    <t>Sulfato de magnesio</t>
  </si>
  <si>
    <t>MED-00673</t>
  </si>
  <si>
    <t>Sulfato ferroso</t>
  </si>
  <si>
    <t>MED-00674</t>
  </si>
  <si>
    <t>125 mg/ml</t>
  </si>
  <si>
    <t>MED-00675</t>
  </si>
  <si>
    <t>Sulfato ferroso + Ac. Fólico + Vitamina C</t>
  </si>
  <si>
    <t>200 mg + 0,5 mg + 150 mg</t>
  </si>
  <si>
    <t>MED-00676</t>
  </si>
  <si>
    <t>125 mg + 0,25 mg + 30 mg</t>
  </si>
  <si>
    <t>MED-00677</t>
  </si>
  <si>
    <t>Surfactante pulmonar</t>
  </si>
  <si>
    <t>25 a 35 mg/ml</t>
  </si>
  <si>
    <t>MED-00678</t>
  </si>
  <si>
    <t>Suxametonio (Succinil colina)</t>
  </si>
  <si>
    <t>MED-00679</t>
  </si>
  <si>
    <t>Tacrolimus</t>
  </si>
  <si>
    <t>MED-00680</t>
  </si>
  <si>
    <t>Talidomida</t>
  </si>
  <si>
    <t>MED-00681</t>
  </si>
  <si>
    <t>Tamoxifeno</t>
  </si>
  <si>
    <t>MED-00682</t>
  </si>
  <si>
    <t>Temozolomida</t>
  </si>
  <si>
    <t>MED-00683</t>
  </si>
  <si>
    <t>MED-00684</t>
  </si>
  <si>
    <t>MED-00685</t>
  </si>
  <si>
    <t>Tenecteplasa</t>
  </si>
  <si>
    <t>MED-00686</t>
  </si>
  <si>
    <t>Tenofovir disoproxilo</t>
  </si>
  <si>
    <t>245 mg (Equiv. a 300 mg como fumarato)</t>
  </si>
  <si>
    <t>MED-00687</t>
  </si>
  <si>
    <t>Tenofovir disoproxilo + Lamivudina + Efavirenz</t>
  </si>
  <si>
    <t>300 mg + 600 mg + 300 mg</t>
  </si>
  <si>
    <t>MED-00688</t>
  </si>
  <si>
    <t>Teofilina</t>
  </si>
  <si>
    <t>MED-00689</t>
  </si>
  <si>
    <t>Terbinafina</t>
  </si>
  <si>
    <t>MED-00690</t>
  </si>
  <si>
    <t>Terlipresina</t>
  </si>
  <si>
    <t>MED-00691</t>
  </si>
  <si>
    <t>Testosterona undecanoato</t>
  </si>
  <si>
    <t>1.000 mg</t>
  </si>
  <si>
    <t>MED-00692</t>
  </si>
  <si>
    <t>Tetraciclina</t>
  </si>
  <si>
    <t>MED-00693</t>
  </si>
  <si>
    <t>Tiabendazol</t>
  </si>
  <si>
    <t>MED-00694</t>
  </si>
  <si>
    <t>MED-00695</t>
  </si>
  <si>
    <t>MED-00696</t>
  </si>
  <si>
    <t>Tiamazol (Metimazol)</t>
  </si>
  <si>
    <t>MED-00697</t>
  </si>
  <si>
    <t>Tiamina (Vitamina B 1)</t>
  </si>
  <si>
    <t>MED-00698</t>
  </si>
  <si>
    <t>MED-00699</t>
  </si>
  <si>
    <t>Timolol maleato</t>
  </si>
  <si>
    <t>MED-00700</t>
  </si>
  <si>
    <t>Tiopental sódico</t>
  </si>
  <si>
    <t>MED-00701</t>
  </si>
  <si>
    <t>Tioridazina</t>
  </si>
  <si>
    <t>MED-00702</t>
  </si>
  <si>
    <t>MED-00703</t>
  </si>
  <si>
    <t>Tocoferol (Vitamina E)</t>
  </si>
  <si>
    <t>1.000 UI</t>
  </si>
  <si>
    <t>MED-00704</t>
  </si>
  <si>
    <t>Tolnaftato</t>
  </si>
  <si>
    <t>MED-00705</t>
  </si>
  <si>
    <t>Toxoide tetánico adsorbido</t>
  </si>
  <si>
    <t>120 UI/ml</t>
  </si>
  <si>
    <t>MED-00706</t>
  </si>
  <si>
    <t>Tramadol</t>
  </si>
  <si>
    <t>100 mg/2 ml</t>
  </si>
  <si>
    <t>MED-00707</t>
  </si>
  <si>
    <t>MED-00708</t>
  </si>
  <si>
    <t>Solución para gotas orales</t>
  </si>
  <si>
    <t>MED-00709</t>
  </si>
  <si>
    <t>Trastuzumab</t>
  </si>
  <si>
    <t>440 mg</t>
  </si>
  <si>
    <t>MED-00710</t>
  </si>
  <si>
    <t>MED-00711</t>
  </si>
  <si>
    <t>Triclabendazol</t>
  </si>
  <si>
    <t>MED-00712</t>
  </si>
  <si>
    <t>Triptorelina</t>
  </si>
  <si>
    <t>11,25 mg</t>
  </si>
  <si>
    <t>MED-00713</t>
  </si>
  <si>
    <t>22,5 mg</t>
  </si>
  <si>
    <t>MED-00714</t>
  </si>
  <si>
    <t>Trolamina</t>
  </si>
  <si>
    <t>0,67%</t>
  </si>
  <si>
    <t>Emulsión dérmica</t>
  </si>
  <si>
    <t>MED-00715</t>
  </si>
  <si>
    <t>Tropicamida</t>
  </si>
  <si>
    <t>MED-00716</t>
  </si>
  <si>
    <t>Ungüento dérmico eucalipto mentol</t>
  </si>
  <si>
    <t>Ungüento o Crema</t>
  </si>
  <si>
    <t>MED-00717</t>
  </si>
  <si>
    <t>Vacuna Antirotavírica</t>
  </si>
  <si>
    <t>Norma PAI Multidosis</t>
  </si>
  <si>
    <t>MED-00718</t>
  </si>
  <si>
    <t>Norma PAI (Unidosis)</t>
  </si>
  <si>
    <t>MED-00719</t>
  </si>
  <si>
    <t>Vacuna Antirrábica de uso Humano (Cultivo Celular)</t>
  </si>
  <si>
    <t>2,5 U.I./0,5 ml</t>
  </si>
  <si>
    <t>MED-00720</t>
  </si>
  <si>
    <t>Vacuna BCG</t>
  </si>
  <si>
    <t>Norma PAI</t>
  </si>
  <si>
    <t>MED-00721</t>
  </si>
  <si>
    <t>Vacuna SR (Sarampión, Rubeola)</t>
  </si>
  <si>
    <t>MED-00722</t>
  </si>
  <si>
    <t>Vacuna SRP (Sarampión, Rubeola; Paperas)</t>
  </si>
  <si>
    <t>MED-00723</t>
  </si>
  <si>
    <t>MED-00724</t>
  </si>
  <si>
    <t>Vacuna Triple DPT (Difteria, Pertusis, Tetanos)</t>
  </si>
  <si>
    <t>MED-00725</t>
  </si>
  <si>
    <t>Vacuna antiamarílica</t>
  </si>
  <si>
    <t>Norma PAI (20 dosis)</t>
  </si>
  <si>
    <t>MED-00726</t>
  </si>
  <si>
    <t>Norma PAI (10 dosis)</t>
  </si>
  <si>
    <t>MED-00727</t>
  </si>
  <si>
    <t>Norma PAI (5 dosis)</t>
  </si>
  <si>
    <t>MED-00728</t>
  </si>
  <si>
    <t>Vacuna antihepatitis B</t>
  </si>
  <si>
    <t>MED-00729</t>
  </si>
  <si>
    <t>Vacuna antineumococo (13 valente)</t>
  </si>
  <si>
    <t>MED-00730</t>
  </si>
  <si>
    <t>Vacuna antipoliomielítica bivalente</t>
  </si>
  <si>
    <t>MED-00731</t>
  </si>
  <si>
    <t>Vacuna antipoliomielítica inactivada</t>
  </si>
  <si>
    <t>MED-00732</t>
  </si>
  <si>
    <t>Vacuna antirrábica</t>
  </si>
  <si>
    <t>1 UI/ml</t>
  </si>
  <si>
    <t>MED-00733</t>
  </si>
  <si>
    <t>Vacuna contra COVID-19</t>
  </si>
  <si>
    <t>MED-00734</t>
  </si>
  <si>
    <t>Vacuna contra Influenza (Adulto)</t>
  </si>
  <si>
    <t>MED-00735</t>
  </si>
  <si>
    <t>Vacuna contra Influenza (Pediátrica)</t>
  </si>
  <si>
    <t>MED-00736</t>
  </si>
  <si>
    <t>Vacuna cuadrivalente recombinante contra el Virus del Papiloma Humano</t>
  </si>
  <si>
    <t>MED-00737</t>
  </si>
  <si>
    <t>Vacuna doble dT (difteria, Tétanos)</t>
  </si>
  <si>
    <t>MED-00738</t>
  </si>
  <si>
    <t>Vacuna pentavalente (DPT + Hep. B + H. Influenzae B)</t>
  </si>
  <si>
    <t>MED-00739</t>
  </si>
  <si>
    <t>Valganciclovir</t>
  </si>
  <si>
    <t>MED-00740</t>
  </si>
  <si>
    <t>Vancomicina</t>
  </si>
  <si>
    <t>MED-00741</t>
  </si>
  <si>
    <t>Vaselina liquida</t>
  </si>
  <si>
    <t>MED-00742</t>
  </si>
  <si>
    <t>Vaselina sólida</t>
  </si>
  <si>
    <t>Pasta 1 Kg</t>
  </si>
  <si>
    <t>MED-00743</t>
  </si>
  <si>
    <t>Verapamilo</t>
  </si>
  <si>
    <t>MED-00744</t>
  </si>
  <si>
    <t>MED-00745</t>
  </si>
  <si>
    <t>MED-00746</t>
  </si>
  <si>
    <t>Vinblastina</t>
  </si>
  <si>
    <t>MED-00747</t>
  </si>
  <si>
    <t>Vincristina</t>
  </si>
  <si>
    <t>MED-00748</t>
  </si>
  <si>
    <t>Vinorelbina</t>
  </si>
  <si>
    <t>MED-00749</t>
  </si>
  <si>
    <t>Violeta de genciana (Cloruro de metilrosanilina)</t>
  </si>
  <si>
    <t>MED-00750</t>
  </si>
  <si>
    <t>Voriconazol</t>
  </si>
  <si>
    <t>MED-00751</t>
  </si>
  <si>
    <t>Warfarina</t>
  </si>
  <si>
    <t>MED-00752</t>
  </si>
  <si>
    <t>Zidovudina</t>
  </si>
  <si>
    <t>MED-00753</t>
  </si>
  <si>
    <t>Suspensión oral</t>
  </si>
  <si>
    <t>MED-00754</t>
  </si>
  <si>
    <t>Zidovudina + Lamivudina</t>
  </si>
  <si>
    <t>MED-00755</t>
  </si>
  <si>
    <t>Zinc (como sulfato)</t>
  </si>
  <si>
    <t>20 mg/5 ml</t>
  </si>
  <si>
    <t>MED-00756</t>
  </si>
  <si>
    <t>MED-00757</t>
  </si>
  <si>
    <t>Ácido Alendrónico (Alendronato)</t>
  </si>
  <si>
    <t>MED-00758</t>
  </si>
  <si>
    <t>Ácido Ascorbico (Vitamina C)</t>
  </si>
  <si>
    <t>500 mg/ml (2 ml)</t>
  </si>
  <si>
    <t>MED-00759</t>
  </si>
  <si>
    <t>Ácido Ascórbico (Vitamina C)</t>
  </si>
  <si>
    <t>MED-00760</t>
  </si>
  <si>
    <t>Ácido Fólico</t>
  </si>
  <si>
    <t>800 mcg</t>
  </si>
  <si>
    <t>MED-00761</t>
  </si>
  <si>
    <t>Ácido Tranexámico</t>
  </si>
  <si>
    <t>MED-00762</t>
  </si>
  <si>
    <t>MED-00763</t>
  </si>
  <si>
    <t>Ácido Valpróico ó Valproato sódico</t>
  </si>
  <si>
    <t>Jarabe o Solución oral</t>
  </si>
  <si>
    <t>MED-00764</t>
  </si>
  <si>
    <t>MED-00765</t>
  </si>
  <si>
    <t>MED-00766</t>
  </si>
  <si>
    <t>200 mg/ml</t>
  </si>
  <si>
    <t>MED-00767</t>
  </si>
  <si>
    <t>Ácido Zoledrónico</t>
  </si>
  <si>
    <t>MED-00768</t>
  </si>
  <si>
    <t>Ácido acetil salicílico</t>
  </si>
  <si>
    <t>MED-00769</t>
  </si>
  <si>
    <t>MED-00770</t>
  </si>
  <si>
    <t>Ácido acético (Ácido tricloroacético)</t>
  </si>
  <si>
    <t>50%</t>
  </si>
  <si>
    <t>MED-00771</t>
  </si>
  <si>
    <t>Ácido aminocapróico</t>
  </si>
  <si>
    <t>2g/10 ml</t>
  </si>
  <si>
    <t>MED-00772</t>
  </si>
  <si>
    <t>Ácido fólico</t>
  </si>
  <si>
    <t>MED-00773</t>
  </si>
  <si>
    <t>Ácido nalidíxico</t>
  </si>
  <si>
    <t>MED-00774</t>
  </si>
  <si>
    <t>MED-00775</t>
  </si>
  <si>
    <t>MED-00776</t>
  </si>
  <si>
    <t>Ácido salicílico</t>
  </si>
  <si>
    <t>MED-00777</t>
  </si>
  <si>
    <t>🏥 SIFARMU v2.0 - Dashboard</t>
  </si>
  <si>
    <t>Medicamentos Registrados</t>
  </si>
  <si>
    <t>Lotes Activos</t>
  </si>
  <si>
    <t>Stock Total Unidades</t>
  </si>
  <si>
    <t>Lotes Vencidos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</si>
</sst>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1565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vertical="center"/>
    </xf>
    <xf numFmtId="0" fontId="2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1B5E20"/>
      </font>
      <fill>
        <patternFill>
          <bgColor rgb="FFC8E6C9"/>
        </patternFill>
      </fill>
    </dxf>
    <dxf>
      <font>
        <color rgb="FFB71C1C"/>
      </font>
      <fill>
        <patternFill>
          <bgColor rgb="FFFFCDD2"/>
        </patternFill>
      </fill>
    </dxf>
    <dxf>
      <font>
        <b/>
        <color rgb="FFF57F17"/>
      </font>
      <fill>
        <patternFill>
          <bgColor rgb="FFFFF9C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0.7109375" style="2" customWidth="1"/>
    <col min="3" max="5" width="20.7109375" style="2" customWidth="1"/>
    <col min="6" max="6" width="25.7109375" style="2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autoFilter ref="A1:F1001"/>
  <conditionalFormatting sqref="F2:F1000">
    <cfRule type="cellIs" dxfId="2" priority="1" operator="equal">
      <formula>"✅ PROCESADO"</formula>
    </cfRule>
    <cfRule type="cellIs" dxfId="3" priority="2" operator="equal">
      <formula>"❌ STOCK INSUFICIENTE"</formula>
    </cfRule>
    <cfRule type="cellIs" dxfId="4" priority="3" operator="equal">
      <formula>"APLICAR SALIDA"</formula>
    </cfRule>
  </conditionalFormatting>
  <dataValidations count="3">
    <dataValidation type="date" allowBlank="1" showInputMessage="1" showErrorMessage="1" errorTitle="❌ Fecha Inválida" error="Por favor usa el formato DD/MM/AAAA o haz doble clic para usar el calendario." promptTitle="📆 Ingresar Fecha" prompt="Haz DOBLE CLIC aquí para abrir el calendario.&#10;O escribe en formato: DD/MM/AAAA" sqref="A2:A1000">
      <formula1>36526</formula1>
      <formula2>73415</formula2>
    </dataValidation>
    <dataValidation type="list" allowBlank="1" showInputMessage="1" showErrorMessage="1" sqref="B2:B1000">
      <formula1>'02_MEDICAMENTOS'!$F$2:$F$1000</formula1>
    </dataValidation>
    <dataValidation type="list" allowBlank="1" showInputMessage="1" showErrorMessage="1" sqref="F2:F1000">
      <formula1>"-- PENDIENTE --,APLICAR SALIDA"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style="2" customWidth="1"/>
  </cols>
  <sheetData>
    <row r="1" spans="1:2">
      <c r="A1" s="3" t="s">
        <v>6</v>
      </c>
      <c r="B1" s="3" t="s">
        <v>7</v>
      </c>
    </row>
  </sheetData>
  <autoFilter ref="A1:B10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78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8.7109375" style="2" customWidth="1"/>
  </cols>
  <sheetData>
    <row r="1" spans="1:9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</row>
    <row r="2" spans="1:9">
      <c r="A2" s="2" t="s">
        <v>75</v>
      </c>
      <c r="B2" s="2" t="s">
        <v>76</v>
      </c>
      <c r="C2" s="2" t="s">
        <v>77</v>
      </c>
      <c r="D2" s="2" t="s">
        <v>73</v>
      </c>
      <c r="E2" s="2">
        <f>SUMIF('03_LOTES'!B:B, F2, '03_LOTES'!E:E)</f>
        <v>0</v>
      </c>
      <c r="F2" s="2">
        <f>A2 &amp; " | " &amp; B2 &amp; " | " &amp; C2</f>
        <v>0</v>
      </c>
      <c r="G2" s="2" t="s">
        <v>78</v>
      </c>
      <c r="I2" s="2" t="s">
        <v>53</v>
      </c>
    </row>
    <row r="3" spans="1:9">
      <c r="A3" s="2" t="s">
        <v>79</v>
      </c>
      <c r="B3" s="2" t="s">
        <v>80</v>
      </c>
      <c r="C3" s="2" t="s">
        <v>77</v>
      </c>
      <c r="D3" s="2" t="s">
        <v>73</v>
      </c>
      <c r="E3" s="2">
        <f>SUMIF('03_LOTES'!B:B, F3, '03_LOTES'!E:E)</f>
        <v>0</v>
      </c>
      <c r="F3" s="2">
        <f>A3 &amp; " | " &amp; B3 &amp; " | " &amp; C3</f>
        <v>0</v>
      </c>
      <c r="G3" s="2" t="s">
        <v>81</v>
      </c>
      <c r="I3" s="2" t="s">
        <v>53</v>
      </c>
    </row>
    <row r="4" spans="1:9">
      <c r="A4" s="2" t="s">
        <v>82</v>
      </c>
      <c r="B4" s="2" t="s">
        <v>80</v>
      </c>
      <c r="C4" s="2" t="s">
        <v>83</v>
      </c>
      <c r="D4" s="2" t="s">
        <v>73</v>
      </c>
      <c r="E4" s="2">
        <f>SUMIF('03_LOTES'!B:B, F4, '03_LOTES'!E:E)</f>
        <v>0</v>
      </c>
      <c r="F4" s="2">
        <f>A4 &amp; " | " &amp; B4 &amp; " | " &amp; C4</f>
        <v>0</v>
      </c>
      <c r="G4" s="2" t="s">
        <v>84</v>
      </c>
      <c r="I4" s="2" t="s">
        <v>53</v>
      </c>
    </row>
    <row r="5" spans="1:9">
      <c r="A5" s="2" t="s">
        <v>85</v>
      </c>
      <c r="B5" s="2" t="s">
        <v>86</v>
      </c>
      <c r="C5" s="2" t="s">
        <v>87</v>
      </c>
      <c r="D5" s="2" t="s">
        <v>73</v>
      </c>
      <c r="E5" s="2">
        <f>SUMIF('03_LOTES'!B:B, F5, '03_LOTES'!E:E)</f>
        <v>0</v>
      </c>
      <c r="F5" s="2">
        <f>A5 &amp; " | " &amp; B5 &amp; " | " &amp; C5</f>
        <v>0</v>
      </c>
      <c r="G5" s="2" t="s">
        <v>88</v>
      </c>
      <c r="I5" s="2" t="s">
        <v>53</v>
      </c>
    </row>
    <row r="6" spans="1:9">
      <c r="A6" s="2" t="s">
        <v>89</v>
      </c>
      <c r="B6" s="2" t="s">
        <v>90</v>
      </c>
      <c r="C6" s="2" t="s">
        <v>87</v>
      </c>
      <c r="D6" s="2" t="s">
        <v>67</v>
      </c>
      <c r="E6" s="2">
        <f>SUMIF('03_LOTES'!B:B, F6, '03_LOTES'!E:E)</f>
        <v>0</v>
      </c>
      <c r="F6" s="2">
        <f>A6 &amp; " | " &amp; B6 &amp; " | " &amp; C6</f>
        <v>0</v>
      </c>
      <c r="G6" s="2" t="s">
        <v>91</v>
      </c>
      <c r="I6" s="2" t="s">
        <v>53</v>
      </c>
    </row>
    <row r="7" spans="1:9">
      <c r="A7" s="2" t="s">
        <v>92</v>
      </c>
      <c r="B7" s="2" t="s">
        <v>80</v>
      </c>
      <c r="C7" s="2" t="s">
        <v>77</v>
      </c>
      <c r="D7" s="2" t="s">
        <v>73</v>
      </c>
      <c r="E7" s="2">
        <f>SUMIF('03_LOTES'!B:B, F7, '03_LOTES'!E:E)</f>
        <v>0</v>
      </c>
      <c r="F7" s="2">
        <f>A7 &amp; " | " &amp; B7 &amp; " | " &amp; C7</f>
        <v>0</v>
      </c>
      <c r="G7" s="2" t="s">
        <v>93</v>
      </c>
      <c r="I7" s="2" t="s">
        <v>53</v>
      </c>
    </row>
    <row r="8" spans="1:9">
      <c r="A8" s="2" t="s">
        <v>94</v>
      </c>
      <c r="B8" s="2" t="s">
        <v>95</v>
      </c>
      <c r="C8" s="2" t="s">
        <v>96</v>
      </c>
      <c r="D8" s="2" t="s">
        <v>73</v>
      </c>
      <c r="E8" s="2">
        <f>SUMIF('03_LOTES'!B:B, F8, '03_LOTES'!E:E)</f>
        <v>0</v>
      </c>
      <c r="F8" s="2">
        <f>A8 &amp; " | " &amp; B8 &amp; " | " &amp; C8</f>
        <v>0</v>
      </c>
      <c r="G8" s="2" t="s">
        <v>97</v>
      </c>
      <c r="I8" s="2" t="s">
        <v>53</v>
      </c>
    </row>
    <row r="9" spans="1:9">
      <c r="A9" s="2" t="s">
        <v>98</v>
      </c>
      <c r="B9" s="2" t="s">
        <v>99</v>
      </c>
      <c r="C9" s="2" t="s">
        <v>100</v>
      </c>
      <c r="D9" s="2" t="s">
        <v>73</v>
      </c>
      <c r="E9" s="2">
        <f>SUMIF('03_LOTES'!B:B, F9, '03_LOTES'!E:E)</f>
        <v>0</v>
      </c>
      <c r="F9" s="2">
        <f>A9 &amp; " | " &amp; B9 &amp; " | " &amp; C9</f>
        <v>0</v>
      </c>
      <c r="G9" s="2" t="s">
        <v>101</v>
      </c>
      <c r="I9" s="2" t="s">
        <v>53</v>
      </c>
    </row>
    <row r="10" spans="1:9">
      <c r="A10" s="2" t="s">
        <v>98</v>
      </c>
      <c r="B10" s="2" t="s">
        <v>102</v>
      </c>
      <c r="C10" s="2" t="s">
        <v>77</v>
      </c>
      <c r="D10" s="2" t="s">
        <v>73</v>
      </c>
      <c r="E10" s="2">
        <f>SUMIF('03_LOTES'!B:B, F10, '03_LOTES'!E:E)</f>
        <v>0</v>
      </c>
      <c r="F10" s="2">
        <f>A10 &amp; " | " &amp; B10 &amp; " | " &amp; C10</f>
        <v>0</v>
      </c>
      <c r="G10" s="2" t="s">
        <v>103</v>
      </c>
      <c r="I10" s="2" t="s">
        <v>53</v>
      </c>
    </row>
    <row r="11" spans="1:9">
      <c r="A11" s="2" t="s">
        <v>98</v>
      </c>
      <c r="B11" s="2" t="s">
        <v>104</v>
      </c>
      <c r="C11" s="2" t="s">
        <v>105</v>
      </c>
      <c r="D11" s="2" t="s">
        <v>73</v>
      </c>
      <c r="E11" s="2">
        <f>SUMIF('03_LOTES'!B:B, F11, '03_LOTES'!E:E)</f>
        <v>0</v>
      </c>
      <c r="F11" s="2">
        <f>A11 &amp; " | " &amp; B11 &amp; " | " &amp; C11</f>
        <v>0</v>
      </c>
      <c r="G11" s="2" t="s">
        <v>106</v>
      </c>
      <c r="I11" s="2" t="s">
        <v>53</v>
      </c>
    </row>
    <row r="12" spans="1:9">
      <c r="A12" s="2" t="s">
        <v>98</v>
      </c>
      <c r="B12" s="2" t="s">
        <v>107</v>
      </c>
      <c r="C12" s="2" t="s">
        <v>77</v>
      </c>
      <c r="D12" s="2" t="s">
        <v>73</v>
      </c>
      <c r="E12" s="2">
        <f>SUMIF('03_LOTES'!B:B, F12, '03_LOTES'!E:E)</f>
        <v>0</v>
      </c>
      <c r="F12" s="2">
        <f>A12 &amp; " | " &amp; B12 &amp; " | " &amp; C12</f>
        <v>0</v>
      </c>
      <c r="G12" s="2" t="s">
        <v>108</v>
      </c>
      <c r="I12" s="2" t="s">
        <v>53</v>
      </c>
    </row>
    <row r="13" spans="1:9">
      <c r="A13" s="2" t="s">
        <v>98</v>
      </c>
      <c r="B13" s="2" t="s">
        <v>109</v>
      </c>
      <c r="C13" s="2" t="s">
        <v>77</v>
      </c>
      <c r="D13" s="2" t="s">
        <v>73</v>
      </c>
      <c r="E13" s="2">
        <f>SUMIF('03_LOTES'!B:B, F13, '03_LOTES'!E:E)</f>
        <v>0</v>
      </c>
      <c r="F13" s="2">
        <f>A13 &amp; " | " &amp; B13 &amp; " | " &amp; C13</f>
        <v>0</v>
      </c>
      <c r="G13" s="2" t="s">
        <v>110</v>
      </c>
      <c r="I13" s="2" t="s">
        <v>53</v>
      </c>
    </row>
    <row r="14" spans="1:9">
      <c r="A14" s="2" t="s">
        <v>98</v>
      </c>
      <c r="B14" s="2" t="s">
        <v>80</v>
      </c>
      <c r="C14" s="2" t="s">
        <v>96</v>
      </c>
      <c r="D14" s="2" t="s">
        <v>73</v>
      </c>
      <c r="E14" s="2">
        <f>SUMIF('03_LOTES'!B:B, F14, '03_LOTES'!E:E)</f>
        <v>0</v>
      </c>
      <c r="F14" s="2">
        <f>A14 &amp; " | " &amp; B14 &amp; " | " &amp; C14</f>
        <v>0</v>
      </c>
      <c r="G14" s="2" t="s">
        <v>111</v>
      </c>
      <c r="I14" s="2" t="s">
        <v>53</v>
      </c>
    </row>
    <row r="15" spans="1:9">
      <c r="A15" s="2" t="s">
        <v>98</v>
      </c>
      <c r="B15" s="2" t="s">
        <v>112</v>
      </c>
      <c r="C15" s="2" t="s">
        <v>96</v>
      </c>
      <c r="D15" s="2" t="s">
        <v>73</v>
      </c>
      <c r="E15" s="2">
        <f>SUMIF('03_LOTES'!B:B, F15, '03_LOTES'!E:E)</f>
        <v>0</v>
      </c>
      <c r="F15" s="2">
        <f>A15 &amp; " | " &amp; B15 &amp; " | " &amp; C15</f>
        <v>0</v>
      </c>
      <c r="G15" s="2" t="s">
        <v>113</v>
      </c>
      <c r="I15" s="2" t="s">
        <v>53</v>
      </c>
    </row>
    <row r="16" spans="1:9">
      <c r="A16" s="2" t="s">
        <v>98</v>
      </c>
      <c r="B16" s="2" t="s">
        <v>114</v>
      </c>
      <c r="C16" s="2" t="s">
        <v>115</v>
      </c>
      <c r="D16" s="2" t="s">
        <v>73</v>
      </c>
      <c r="E16" s="2">
        <f>SUMIF('03_LOTES'!B:B, F16, '03_LOTES'!E:E)</f>
        <v>0</v>
      </c>
      <c r="F16" s="2">
        <f>A16 &amp; " | " &amp; B16 &amp; " | " &amp; C16</f>
        <v>0</v>
      </c>
      <c r="G16" s="2" t="s">
        <v>116</v>
      </c>
      <c r="I16" s="2" t="s">
        <v>53</v>
      </c>
    </row>
    <row r="17" spans="1:9">
      <c r="A17" s="2" t="s">
        <v>117</v>
      </c>
      <c r="B17" s="2" t="s">
        <v>118</v>
      </c>
      <c r="C17" s="2" t="s">
        <v>119</v>
      </c>
      <c r="D17" s="2" t="s">
        <v>73</v>
      </c>
      <c r="E17" s="2">
        <f>SUMIF('03_LOTES'!B:B, F17, '03_LOTES'!E:E)</f>
        <v>0</v>
      </c>
      <c r="F17" s="2">
        <f>A17 &amp; " | " &amp; B17 &amp; " | " &amp; C17</f>
        <v>0</v>
      </c>
      <c r="G17" s="2" t="s">
        <v>120</v>
      </c>
      <c r="I17" s="2" t="s">
        <v>53</v>
      </c>
    </row>
    <row r="18" spans="1:9">
      <c r="A18" s="2" t="s">
        <v>121</v>
      </c>
      <c r="B18" s="2" t="s">
        <v>122</v>
      </c>
      <c r="C18" s="2" t="s">
        <v>96</v>
      </c>
      <c r="D18" s="2" t="s">
        <v>73</v>
      </c>
      <c r="E18" s="2">
        <f>SUMIF('03_LOTES'!B:B, F18, '03_LOTES'!E:E)</f>
        <v>0</v>
      </c>
      <c r="F18" s="2">
        <f>A18 &amp; " | " &amp; B18 &amp; " | " &amp; C18</f>
        <v>0</v>
      </c>
      <c r="G18" s="2" t="s">
        <v>123</v>
      </c>
      <c r="I18" s="2" t="s">
        <v>53</v>
      </c>
    </row>
    <row r="19" spans="1:9">
      <c r="A19" s="2" t="s">
        <v>124</v>
      </c>
      <c r="B19" s="2" t="s">
        <v>90</v>
      </c>
      <c r="C19" s="2" t="s">
        <v>125</v>
      </c>
      <c r="D19" s="2" t="s">
        <v>73</v>
      </c>
      <c r="E19" s="2">
        <f>SUMIF('03_LOTES'!B:B, F19, '03_LOTES'!E:E)</f>
        <v>0</v>
      </c>
      <c r="F19" s="2">
        <f>A19 &amp; " | " &amp; B19 &amp; " | " &amp; C19</f>
        <v>0</v>
      </c>
      <c r="G19" s="2" t="s">
        <v>126</v>
      </c>
      <c r="I19" s="2" t="s">
        <v>53</v>
      </c>
    </row>
    <row r="20" spans="1:9">
      <c r="A20" s="2" t="s">
        <v>127</v>
      </c>
      <c r="B20" s="2" t="s">
        <v>128</v>
      </c>
      <c r="C20" s="2" t="s">
        <v>96</v>
      </c>
      <c r="D20" s="2" t="s">
        <v>73</v>
      </c>
      <c r="E20" s="2">
        <f>SUMIF('03_LOTES'!B:B, F20, '03_LOTES'!E:E)</f>
        <v>0</v>
      </c>
      <c r="F20" s="2">
        <f>A20 &amp; " | " &amp; B20 &amp; " | " &amp; C20</f>
        <v>0</v>
      </c>
      <c r="G20" s="2" t="s">
        <v>129</v>
      </c>
      <c r="I20" s="2" t="s">
        <v>53</v>
      </c>
    </row>
    <row r="21" spans="1:9">
      <c r="A21" s="2" t="s">
        <v>130</v>
      </c>
      <c r="B21" s="2" t="s">
        <v>107</v>
      </c>
      <c r="C21" s="2" t="s">
        <v>77</v>
      </c>
      <c r="D21" s="2" t="s">
        <v>73</v>
      </c>
      <c r="E21" s="2">
        <f>SUMIF('03_LOTES'!B:B, F21, '03_LOTES'!E:E)</f>
        <v>0</v>
      </c>
      <c r="F21" s="2">
        <f>A21 &amp; " | " &amp; B21 &amp; " | " &amp; C21</f>
        <v>0</v>
      </c>
      <c r="G21" s="2" t="s">
        <v>131</v>
      </c>
      <c r="I21" s="2" t="s">
        <v>53</v>
      </c>
    </row>
    <row r="22" spans="1:9">
      <c r="A22" s="2" t="s">
        <v>130</v>
      </c>
      <c r="B22" s="2" t="s">
        <v>104</v>
      </c>
      <c r="C22" s="2" t="s">
        <v>105</v>
      </c>
      <c r="D22" s="2" t="s">
        <v>73</v>
      </c>
      <c r="E22" s="2">
        <f>SUMIF('03_LOTES'!B:B, F22, '03_LOTES'!E:E)</f>
        <v>0</v>
      </c>
      <c r="F22" s="2">
        <f>A22 &amp; " | " &amp; B22 &amp; " | " &amp; C22</f>
        <v>0</v>
      </c>
      <c r="G22" s="2" t="s">
        <v>132</v>
      </c>
      <c r="I22" s="2" t="s">
        <v>53</v>
      </c>
    </row>
    <row r="23" spans="1:9">
      <c r="A23" s="2" t="s">
        <v>133</v>
      </c>
      <c r="B23" s="2" t="s">
        <v>134</v>
      </c>
      <c r="C23" s="2" t="s">
        <v>96</v>
      </c>
      <c r="D23" s="2" t="s">
        <v>73</v>
      </c>
      <c r="E23" s="2">
        <f>SUMIF('03_LOTES'!B:B, F23, '03_LOTES'!E:E)</f>
        <v>0</v>
      </c>
      <c r="F23" s="2">
        <f>A23 &amp; " | " &amp; B23 &amp; " | " &amp; C23</f>
        <v>0</v>
      </c>
      <c r="G23" s="2" t="s">
        <v>135</v>
      </c>
      <c r="I23" s="2" t="s">
        <v>53</v>
      </c>
    </row>
    <row r="24" spans="1:9">
      <c r="A24" s="2" t="s">
        <v>136</v>
      </c>
      <c r="B24" s="2" t="s">
        <v>137</v>
      </c>
      <c r="C24" s="2" t="s">
        <v>138</v>
      </c>
      <c r="D24" s="2" t="s">
        <v>73</v>
      </c>
      <c r="E24" s="2">
        <f>SUMIF('03_LOTES'!B:B, F24, '03_LOTES'!E:E)</f>
        <v>0</v>
      </c>
      <c r="F24" s="2">
        <f>A24 &amp; " | " &amp; B24 &amp; " | " &amp; C24</f>
        <v>0</v>
      </c>
      <c r="G24" s="2" t="s">
        <v>139</v>
      </c>
      <c r="I24" s="2" t="s">
        <v>53</v>
      </c>
    </row>
    <row r="25" spans="1:9">
      <c r="A25" s="2" t="s">
        <v>140</v>
      </c>
      <c r="B25" s="2" t="s">
        <v>141</v>
      </c>
      <c r="C25" s="2" t="s">
        <v>142</v>
      </c>
      <c r="D25" s="2" t="s">
        <v>73</v>
      </c>
      <c r="E25" s="2">
        <f>SUMIF('03_LOTES'!B:B, F25, '03_LOTES'!E:E)</f>
        <v>0</v>
      </c>
      <c r="F25" s="2">
        <f>A25 &amp; " | " &amp; B25 &amp; " | " &amp; C25</f>
        <v>0</v>
      </c>
      <c r="G25" s="2" t="s">
        <v>143</v>
      </c>
      <c r="I25" s="2" t="s">
        <v>53</v>
      </c>
    </row>
    <row r="26" spans="1:9">
      <c r="A26" s="2" t="s">
        <v>144</v>
      </c>
      <c r="B26" s="2" t="s">
        <v>76</v>
      </c>
      <c r="C26" s="2" t="s">
        <v>77</v>
      </c>
      <c r="D26" s="2" t="s">
        <v>73</v>
      </c>
      <c r="E26" s="2">
        <f>SUMIF('03_LOTES'!B:B, F26, '03_LOTES'!E:E)</f>
        <v>0</v>
      </c>
      <c r="F26" s="2">
        <f>A26 &amp; " | " &amp; B26 &amp; " | " &amp; C26</f>
        <v>0</v>
      </c>
      <c r="G26" s="2" t="s">
        <v>145</v>
      </c>
      <c r="I26" s="2" t="s">
        <v>53</v>
      </c>
    </row>
    <row r="27" spans="1:9">
      <c r="A27" s="2" t="s">
        <v>146</v>
      </c>
      <c r="B27" s="2" t="s">
        <v>147</v>
      </c>
      <c r="C27" s="2" t="s">
        <v>148</v>
      </c>
      <c r="D27" s="2" t="s">
        <v>73</v>
      </c>
      <c r="E27" s="2">
        <f>SUMIF('03_LOTES'!B:B, F27, '03_LOTES'!E:E)</f>
        <v>0</v>
      </c>
      <c r="F27" s="2">
        <f>A27 &amp; " | " &amp; B27 &amp; " | " &amp; C27</f>
        <v>0</v>
      </c>
      <c r="G27" s="2" t="s">
        <v>149</v>
      </c>
      <c r="I27" s="2" t="s">
        <v>53</v>
      </c>
    </row>
    <row r="28" spans="1:9">
      <c r="A28" s="2" t="s">
        <v>150</v>
      </c>
      <c r="B28" s="2" t="s">
        <v>151</v>
      </c>
      <c r="C28" s="2" t="s">
        <v>96</v>
      </c>
      <c r="D28" s="2" t="s">
        <v>73</v>
      </c>
      <c r="E28" s="2">
        <f>SUMIF('03_LOTES'!B:B, F28, '03_LOTES'!E:E)</f>
        <v>0</v>
      </c>
      <c r="F28" s="2">
        <f>A28 &amp; " | " &amp; B28 &amp; " | " &amp; C28</f>
        <v>0</v>
      </c>
      <c r="G28" s="2" t="s">
        <v>152</v>
      </c>
      <c r="I28" s="2" t="s">
        <v>53</v>
      </c>
    </row>
    <row r="29" spans="1:9">
      <c r="A29" s="2" t="s">
        <v>153</v>
      </c>
      <c r="B29" s="2" t="s">
        <v>154</v>
      </c>
      <c r="C29" s="2" t="s">
        <v>96</v>
      </c>
      <c r="D29" s="2" t="s">
        <v>73</v>
      </c>
      <c r="E29" s="2">
        <f>SUMIF('03_LOTES'!B:B, F29, '03_LOTES'!E:E)</f>
        <v>0</v>
      </c>
      <c r="F29" s="2">
        <f>A29 &amp; " | " &amp; B29 &amp; " | " &amp; C29</f>
        <v>0</v>
      </c>
      <c r="G29" s="2" t="s">
        <v>155</v>
      </c>
      <c r="I29" s="2" t="s">
        <v>53</v>
      </c>
    </row>
    <row r="30" spans="1:9">
      <c r="A30" s="2" t="s">
        <v>156</v>
      </c>
      <c r="B30" s="2" t="s">
        <v>157</v>
      </c>
      <c r="C30" s="2" t="s">
        <v>96</v>
      </c>
      <c r="D30" s="2" t="s">
        <v>73</v>
      </c>
      <c r="E30" s="2">
        <f>SUMIF('03_LOTES'!B:B, F30, '03_LOTES'!E:E)</f>
        <v>0</v>
      </c>
      <c r="F30" s="2">
        <f>A30 &amp; " | " &amp; B30 &amp; " | " &amp; C30</f>
        <v>0</v>
      </c>
      <c r="G30" s="2" t="s">
        <v>158</v>
      </c>
      <c r="I30" s="2" t="s">
        <v>53</v>
      </c>
    </row>
    <row r="31" spans="1:9">
      <c r="A31" s="2" t="s">
        <v>156</v>
      </c>
      <c r="B31" s="2" t="s">
        <v>107</v>
      </c>
      <c r="C31" s="2" t="s">
        <v>77</v>
      </c>
      <c r="D31" s="2" t="s">
        <v>73</v>
      </c>
      <c r="E31" s="2">
        <f>SUMIF('03_LOTES'!B:B, F31, '03_LOTES'!E:E)</f>
        <v>0</v>
      </c>
      <c r="F31" s="2">
        <f>A31 &amp; " | " &amp; B31 &amp; " | " &amp; C31</f>
        <v>0</v>
      </c>
      <c r="G31" s="2" t="s">
        <v>159</v>
      </c>
      <c r="I31" s="2" t="s">
        <v>53</v>
      </c>
    </row>
    <row r="32" spans="1:9">
      <c r="A32" s="2" t="s">
        <v>160</v>
      </c>
      <c r="B32" s="2" t="s">
        <v>95</v>
      </c>
      <c r="C32" s="2" t="s">
        <v>161</v>
      </c>
      <c r="D32" s="2" t="s">
        <v>73</v>
      </c>
      <c r="E32" s="2">
        <f>SUMIF('03_LOTES'!B:B, F32, '03_LOTES'!E:E)</f>
        <v>0</v>
      </c>
      <c r="F32" s="2">
        <f>A32 &amp; " | " &amp; B32 &amp; " | " &amp; C32</f>
        <v>0</v>
      </c>
      <c r="G32" s="2" t="s">
        <v>162</v>
      </c>
      <c r="I32" s="2" t="s">
        <v>53</v>
      </c>
    </row>
    <row r="33" spans="1:9">
      <c r="A33" s="2" t="s">
        <v>163</v>
      </c>
      <c r="B33" s="2" t="s">
        <v>107</v>
      </c>
      <c r="C33" s="2" t="s">
        <v>77</v>
      </c>
      <c r="D33" s="2" t="s">
        <v>73</v>
      </c>
      <c r="E33" s="2">
        <f>SUMIF('03_LOTES'!B:B, F33, '03_LOTES'!E:E)</f>
        <v>0</v>
      </c>
      <c r="F33" s="2">
        <f>A33 &amp; " | " &amp; B33 &amp; " | " &amp; C33</f>
        <v>0</v>
      </c>
      <c r="G33" s="2" t="s">
        <v>164</v>
      </c>
      <c r="I33" s="2" t="s">
        <v>53</v>
      </c>
    </row>
    <row r="34" spans="1:9">
      <c r="A34" s="2" t="s">
        <v>163</v>
      </c>
      <c r="B34" s="2" t="s">
        <v>165</v>
      </c>
      <c r="C34" s="2" t="s">
        <v>96</v>
      </c>
      <c r="D34" s="2" t="s">
        <v>73</v>
      </c>
      <c r="E34" s="2">
        <f>SUMIF('03_LOTES'!B:B, F34, '03_LOTES'!E:E)</f>
        <v>0</v>
      </c>
      <c r="F34" s="2">
        <f>A34 &amp; " | " &amp; B34 &amp; " | " &amp; C34</f>
        <v>0</v>
      </c>
      <c r="G34" s="2" t="s">
        <v>166</v>
      </c>
      <c r="I34" s="2" t="s">
        <v>53</v>
      </c>
    </row>
    <row r="35" spans="1:9">
      <c r="A35" s="2" t="s">
        <v>167</v>
      </c>
      <c r="B35" s="2" t="s">
        <v>168</v>
      </c>
      <c r="C35" s="2" t="s">
        <v>148</v>
      </c>
      <c r="D35" s="2" t="s">
        <v>73</v>
      </c>
      <c r="E35" s="2">
        <f>SUMIF('03_LOTES'!B:B, F35, '03_LOTES'!E:E)</f>
        <v>0</v>
      </c>
      <c r="F35" s="2">
        <f>A35 &amp; " | " &amp; B35 &amp; " | " &amp; C35</f>
        <v>0</v>
      </c>
      <c r="G35" s="2" t="s">
        <v>169</v>
      </c>
      <c r="I35" s="2" t="s">
        <v>53</v>
      </c>
    </row>
    <row r="36" spans="1:9">
      <c r="A36" s="2" t="s">
        <v>170</v>
      </c>
      <c r="B36" s="2" t="s">
        <v>171</v>
      </c>
      <c r="C36" s="2" t="s">
        <v>77</v>
      </c>
      <c r="D36" s="2" t="s">
        <v>58</v>
      </c>
      <c r="E36" s="2">
        <f>SUMIF('03_LOTES'!B:B, F36, '03_LOTES'!E:E)</f>
        <v>0</v>
      </c>
      <c r="F36" s="2">
        <f>A36 &amp; " | " &amp; B36 &amp; " | " &amp; C36</f>
        <v>0</v>
      </c>
      <c r="G36" s="2" t="s">
        <v>172</v>
      </c>
      <c r="I36" s="2" t="s">
        <v>53</v>
      </c>
    </row>
    <row r="37" spans="1:9">
      <c r="A37" s="2" t="s">
        <v>173</v>
      </c>
      <c r="B37" s="2" t="s">
        <v>174</v>
      </c>
      <c r="C37" s="2" t="s">
        <v>77</v>
      </c>
      <c r="D37" s="2" t="s">
        <v>55</v>
      </c>
      <c r="E37" s="2">
        <f>SUMIF('03_LOTES'!B:B, F37, '03_LOTES'!E:E)</f>
        <v>0</v>
      </c>
      <c r="F37" s="2">
        <f>A37 &amp; " | " &amp; B37 &amp; " | " &amp; C37</f>
        <v>0</v>
      </c>
      <c r="G37" s="2" t="s">
        <v>175</v>
      </c>
      <c r="I37" s="2" t="s">
        <v>53</v>
      </c>
    </row>
    <row r="38" spans="1:9">
      <c r="A38" s="2" t="s">
        <v>173</v>
      </c>
      <c r="B38" s="2" t="s">
        <v>112</v>
      </c>
      <c r="C38" s="2" t="s">
        <v>77</v>
      </c>
      <c r="D38" s="2" t="s">
        <v>55</v>
      </c>
      <c r="E38" s="2">
        <f>SUMIF('03_LOTES'!B:B, F38, '03_LOTES'!E:E)</f>
        <v>0</v>
      </c>
      <c r="F38" s="2">
        <f>A38 &amp; " | " &amp; B38 &amp; " | " &amp; C38</f>
        <v>0</v>
      </c>
      <c r="G38" s="2" t="s">
        <v>176</v>
      </c>
      <c r="I38" s="2" t="s">
        <v>53</v>
      </c>
    </row>
    <row r="39" spans="1:9">
      <c r="A39" s="2" t="s">
        <v>173</v>
      </c>
      <c r="B39" s="2" t="s">
        <v>174</v>
      </c>
      <c r="C39" s="2" t="s">
        <v>96</v>
      </c>
      <c r="D39" s="2" t="s">
        <v>55</v>
      </c>
      <c r="E39" s="2">
        <f>SUMIF('03_LOTES'!B:B, F39, '03_LOTES'!E:E)</f>
        <v>0</v>
      </c>
      <c r="F39" s="2">
        <f>A39 &amp; " | " &amp; B39 &amp; " | " &amp; C39</f>
        <v>0</v>
      </c>
      <c r="G39" s="2" t="s">
        <v>177</v>
      </c>
      <c r="I39" s="2" t="s">
        <v>53</v>
      </c>
    </row>
    <row r="40" spans="1:9">
      <c r="A40" s="2" t="s">
        <v>173</v>
      </c>
      <c r="B40" s="2" t="s">
        <v>178</v>
      </c>
      <c r="C40" s="2" t="s">
        <v>105</v>
      </c>
      <c r="D40" s="2" t="s">
        <v>55</v>
      </c>
      <c r="E40" s="2">
        <f>SUMIF('03_LOTES'!B:B, F40, '03_LOTES'!E:E)</f>
        <v>0</v>
      </c>
      <c r="F40" s="2">
        <f>A40 &amp; " | " &amp; B40 &amp; " | " &amp; C40</f>
        <v>0</v>
      </c>
      <c r="G40" s="2" t="s">
        <v>179</v>
      </c>
      <c r="I40" s="2" t="s">
        <v>53</v>
      </c>
    </row>
    <row r="41" spans="1:9">
      <c r="A41" s="2" t="s">
        <v>180</v>
      </c>
      <c r="B41" s="2" t="s">
        <v>181</v>
      </c>
      <c r="C41" s="2" t="s">
        <v>77</v>
      </c>
      <c r="D41" s="2" t="s">
        <v>55</v>
      </c>
      <c r="E41" s="2">
        <f>SUMIF('03_LOTES'!B:B, F41, '03_LOTES'!E:E)</f>
        <v>0</v>
      </c>
      <c r="F41" s="2">
        <f>A41 &amp; " | " &amp; B41 &amp; " | " &amp; C41</f>
        <v>0</v>
      </c>
      <c r="G41" s="2" t="s">
        <v>182</v>
      </c>
      <c r="I41" s="2" t="s">
        <v>53</v>
      </c>
    </row>
    <row r="42" spans="1:9">
      <c r="A42" s="2" t="s">
        <v>180</v>
      </c>
      <c r="B42" s="2" t="s">
        <v>183</v>
      </c>
      <c r="C42" s="2" t="s">
        <v>105</v>
      </c>
      <c r="D42" s="2" t="s">
        <v>55</v>
      </c>
      <c r="E42" s="2">
        <f>SUMIF('03_LOTES'!B:B, F42, '03_LOTES'!E:E)</f>
        <v>0</v>
      </c>
      <c r="F42" s="2">
        <f>A42 &amp; " | " &amp; B42 &amp; " | " &amp; C42</f>
        <v>0</v>
      </c>
      <c r="G42" s="2" t="s">
        <v>184</v>
      </c>
      <c r="I42" s="2" t="s">
        <v>53</v>
      </c>
    </row>
    <row r="43" spans="1:9">
      <c r="A43" s="2" t="s">
        <v>180</v>
      </c>
      <c r="B43" s="2" t="s">
        <v>185</v>
      </c>
      <c r="C43" s="2" t="s">
        <v>96</v>
      </c>
      <c r="D43" s="2" t="s">
        <v>55</v>
      </c>
      <c r="E43" s="2">
        <f>SUMIF('03_LOTES'!B:B, F43, '03_LOTES'!E:E)</f>
        <v>0</v>
      </c>
      <c r="F43" s="2">
        <f>A43 &amp; " | " &amp; B43 &amp; " | " &amp; C43</f>
        <v>0</v>
      </c>
      <c r="G43" s="2" t="s">
        <v>186</v>
      </c>
      <c r="I43" s="2" t="s">
        <v>53</v>
      </c>
    </row>
    <row r="44" spans="1:9">
      <c r="A44" s="2" t="s">
        <v>180</v>
      </c>
      <c r="B44" s="2" t="s">
        <v>187</v>
      </c>
      <c r="C44" s="2" t="s">
        <v>77</v>
      </c>
      <c r="D44" s="2" t="s">
        <v>55</v>
      </c>
      <c r="E44" s="2">
        <f>SUMIF('03_LOTES'!B:B, F44, '03_LOTES'!E:E)</f>
        <v>0</v>
      </c>
      <c r="F44" s="2">
        <f>A44 &amp; " | " &amp; B44 &amp; " | " &amp; C44</f>
        <v>0</v>
      </c>
      <c r="G44" s="2" t="s">
        <v>188</v>
      </c>
      <c r="I44" s="2" t="s">
        <v>53</v>
      </c>
    </row>
    <row r="45" spans="1:9">
      <c r="A45" s="2" t="s">
        <v>189</v>
      </c>
      <c r="B45" s="2" t="s">
        <v>174</v>
      </c>
      <c r="C45" s="2" t="s">
        <v>96</v>
      </c>
      <c r="D45" s="2" t="s">
        <v>73</v>
      </c>
      <c r="E45" s="2">
        <f>SUMIF('03_LOTES'!B:B, F45, '03_LOTES'!E:E)</f>
        <v>0</v>
      </c>
      <c r="F45" s="2">
        <f>A45 &amp; " | " &amp; B45 &amp; " | " &amp; C45</f>
        <v>0</v>
      </c>
      <c r="G45" s="2" t="s">
        <v>190</v>
      </c>
      <c r="I45" s="2" t="s">
        <v>53</v>
      </c>
    </row>
    <row r="46" spans="1:9">
      <c r="A46" s="2" t="s">
        <v>191</v>
      </c>
      <c r="B46" s="2" t="s">
        <v>192</v>
      </c>
      <c r="C46" s="2" t="s">
        <v>77</v>
      </c>
      <c r="D46" s="2" t="s">
        <v>73</v>
      </c>
      <c r="E46" s="2">
        <f>SUMIF('03_LOTES'!B:B, F46, '03_LOTES'!E:E)</f>
        <v>0</v>
      </c>
      <c r="F46" s="2">
        <f>A46 &amp; " | " &amp; B46 &amp; " | " &amp; C46</f>
        <v>0</v>
      </c>
      <c r="G46" s="2" t="s">
        <v>193</v>
      </c>
      <c r="I46" s="2" t="s">
        <v>53</v>
      </c>
    </row>
    <row r="47" spans="1:9">
      <c r="A47" s="2" t="s">
        <v>194</v>
      </c>
      <c r="B47" s="2" t="s">
        <v>90</v>
      </c>
      <c r="C47" s="2" t="s">
        <v>77</v>
      </c>
      <c r="D47" s="2" t="s">
        <v>51</v>
      </c>
      <c r="E47" s="2">
        <f>SUMIF('03_LOTES'!B:B, F47, '03_LOTES'!E:E)</f>
        <v>0</v>
      </c>
      <c r="F47" s="2">
        <f>A47 &amp; " | " &amp; B47 &amp; " | " &amp; C47</f>
        <v>0</v>
      </c>
      <c r="G47" s="2" t="s">
        <v>195</v>
      </c>
      <c r="I47" s="2" t="s">
        <v>53</v>
      </c>
    </row>
    <row r="48" spans="1:9">
      <c r="A48" s="2" t="s">
        <v>196</v>
      </c>
      <c r="B48" s="2" t="s">
        <v>197</v>
      </c>
      <c r="C48" s="2" t="s">
        <v>96</v>
      </c>
      <c r="D48" s="2" t="s">
        <v>73</v>
      </c>
      <c r="E48" s="2">
        <f>SUMIF('03_LOTES'!B:B, F48, '03_LOTES'!E:E)</f>
        <v>0</v>
      </c>
      <c r="F48" s="2">
        <f>A48 &amp; " | " &amp; B48 &amp; " | " &amp; C48</f>
        <v>0</v>
      </c>
      <c r="G48" s="2" t="s">
        <v>198</v>
      </c>
      <c r="I48" s="2" t="s">
        <v>53</v>
      </c>
    </row>
    <row r="49" spans="1:9">
      <c r="A49" s="2" t="s">
        <v>199</v>
      </c>
      <c r="B49" s="2" t="s">
        <v>171</v>
      </c>
      <c r="C49" s="2" t="s">
        <v>77</v>
      </c>
      <c r="D49" s="2" t="s">
        <v>73</v>
      </c>
      <c r="E49" s="2">
        <f>SUMIF('03_LOTES'!B:B, F49, '03_LOTES'!E:E)</f>
        <v>0</v>
      </c>
      <c r="F49" s="2">
        <f>A49 &amp; " | " &amp; B49 &amp; " | " &amp; C49</f>
        <v>0</v>
      </c>
      <c r="G49" s="2" t="s">
        <v>200</v>
      </c>
      <c r="I49" s="2" t="s">
        <v>53</v>
      </c>
    </row>
    <row r="50" spans="1:9">
      <c r="A50" s="2" t="s">
        <v>199</v>
      </c>
      <c r="B50" s="2" t="s">
        <v>201</v>
      </c>
      <c r="C50" s="2" t="s">
        <v>77</v>
      </c>
      <c r="D50" s="2" t="s">
        <v>73</v>
      </c>
      <c r="E50" s="2">
        <f>SUMIF('03_LOTES'!B:B, F50, '03_LOTES'!E:E)</f>
        <v>0</v>
      </c>
      <c r="F50" s="2">
        <f>A50 &amp; " | " &amp; B50 &amp; " | " &amp; C50</f>
        <v>0</v>
      </c>
      <c r="G50" s="2" t="s">
        <v>202</v>
      </c>
      <c r="I50" s="2" t="s">
        <v>53</v>
      </c>
    </row>
    <row r="51" spans="1:9">
      <c r="A51" s="2" t="s">
        <v>203</v>
      </c>
      <c r="B51" s="2" t="s">
        <v>204</v>
      </c>
      <c r="C51" s="2" t="s">
        <v>77</v>
      </c>
      <c r="D51" s="2" t="s">
        <v>73</v>
      </c>
      <c r="E51" s="2">
        <f>SUMIF('03_LOTES'!B:B, F51, '03_LOTES'!E:E)</f>
        <v>0</v>
      </c>
      <c r="F51" s="2">
        <f>A51 &amp; " | " &amp; B51 &amp; " | " &amp; C51</f>
        <v>0</v>
      </c>
      <c r="G51" s="2" t="s">
        <v>205</v>
      </c>
      <c r="I51" s="2" t="s">
        <v>53</v>
      </c>
    </row>
    <row r="52" spans="1:9">
      <c r="A52" s="2" t="s">
        <v>206</v>
      </c>
      <c r="B52" s="2" t="s">
        <v>151</v>
      </c>
      <c r="C52" s="2" t="s">
        <v>77</v>
      </c>
      <c r="D52" s="2" t="s">
        <v>73</v>
      </c>
      <c r="E52" s="2">
        <f>SUMIF('03_LOTES'!B:B, F52, '03_LOTES'!E:E)</f>
        <v>0</v>
      </c>
      <c r="F52" s="2">
        <f>A52 &amp; " | " &amp; B52 &amp; " | " &amp; C52</f>
        <v>0</v>
      </c>
      <c r="G52" s="2" t="s">
        <v>207</v>
      </c>
      <c r="I52" s="2" t="s">
        <v>53</v>
      </c>
    </row>
    <row r="53" spans="1:9">
      <c r="A53" s="2" t="s">
        <v>206</v>
      </c>
      <c r="B53" s="2" t="s">
        <v>208</v>
      </c>
      <c r="C53" s="2" t="s">
        <v>96</v>
      </c>
      <c r="D53" s="2" t="s">
        <v>73</v>
      </c>
      <c r="E53" s="2">
        <f>SUMIF('03_LOTES'!B:B, F53, '03_LOTES'!E:E)</f>
        <v>0</v>
      </c>
      <c r="F53" s="2">
        <f>A53 &amp; " | " &amp; B53 &amp; " | " &amp; C53</f>
        <v>0</v>
      </c>
      <c r="G53" s="2" t="s">
        <v>209</v>
      </c>
      <c r="I53" s="2" t="s">
        <v>53</v>
      </c>
    </row>
    <row r="54" spans="1:9">
      <c r="A54" s="2" t="s">
        <v>210</v>
      </c>
      <c r="B54" s="2" t="s">
        <v>211</v>
      </c>
      <c r="C54" s="2" t="s">
        <v>77</v>
      </c>
      <c r="D54" s="2" t="s">
        <v>73</v>
      </c>
      <c r="E54" s="2">
        <f>SUMIF('03_LOTES'!B:B, F54, '03_LOTES'!E:E)</f>
        <v>0</v>
      </c>
      <c r="F54" s="2">
        <f>A54 &amp; " | " &amp; B54 &amp; " | " &amp; C54</f>
        <v>0</v>
      </c>
      <c r="G54" s="2" t="s">
        <v>212</v>
      </c>
      <c r="I54" s="2" t="s">
        <v>53</v>
      </c>
    </row>
    <row r="55" spans="1:9">
      <c r="A55" s="2" t="s">
        <v>210</v>
      </c>
      <c r="B55" s="2" t="s">
        <v>213</v>
      </c>
      <c r="C55" s="2" t="s">
        <v>77</v>
      </c>
      <c r="D55" s="2" t="s">
        <v>73</v>
      </c>
      <c r="E55" s="2">
        <f>SUMIF('03_LOTES'!B:B, F55, '03_LOTES'!E:E)</f>
        <v>0</v>
      </c>
      <c r="F55" s="2">
        <f>A55 &amp; " | " &amp; B55 &amp; " | " &amp; C55</f>
        <v>0</v>
      </c>
      <c r="G55" s="2" t="s">
        <v>214</v>
      </c>
      <c r="I55" s="2" t="s">
        <v>53</v>
      </c>
    </row>
    <row r="56" spans="1:9">
      <c r="A56" s="2" t="s">
        <v>215</v>
      </c>
      <c r="B56" s="2" t="s">
        <v>216</v>
      </c>
      <c r="C56" s="2" t="s">
        <v>96</v>
      </c>
      <c r="D56" s="2" t="s">
        <v>73</v>
      </c>
      <c r="E56" s="2">
        <f>SUMIF('03_LOTES'!B:B, F56, '03_LOTES'!E:E)</f>
        <v>0</v>
      </c>
      <c r="F56" s="2">
        <f>A56 &amp; " | " &amp; B56 &amp; " | " &amp; C56</f>
        <v>0</v>
      </c>
      <c r="G56" s="2" t="s">
        <v>217</v>
      </c>
      <c r="I56" s="2" t="s">
        <v>53</v>
      </c>
    </row>
    <row r="57" spans="1:9">
      <c r="A57" s="2" t="s">
        <v>218</v>
      </c>
      <c r="B57" s="2" t="s">
        <v>76</v>
      </c>
      <c r="C57" s="2" t="s">
        <v>219</v>
      </c>
      <c r="D57" s="2" t="s">
        <v>73</v>
      </c>
      <c r="E57" s="2">
        <f>SUMIF('03_LOTES'!B:B, F57, '03_LOTES'!E:E)</f>
        <v>0</v>
      </c>
      <c r="F57" s="2">
        <f>A57 &amp; " | " &amp; B57 &amp; " | " &amp; C57</f>
        <v>0</v>
      </c>
      <c r="G57" s="2" t="s">
        <v>220</v>
      </c>
      <c r="I57" s="2" t="s">
        <v>53</v>
      </c>
    </row>
    <row r="58" spans="1:9">
      <c r="A58" s="2" t="s">
        <v>221</v>
      </c>
      <c r="B58" s="2" t="s">
        <v>222</v>
      </c>
      <c r="C58" s="2" t="s">
        <v>219</v>
      </c>
      <c r="D58" s="2" t="s">
        <v>73</v>
      </c>
      <c r="E58" s="2">
        <f>SUMIF('03_LOTES'!B:B, F58, '03_LOTES'!E:E)</f>
        <v>0</v>
      </c>
      <c r="F58" s="2">
        <f>A58 &amp; " | " &amp; B58 &amp; " | " &amp; C58</f>
        <v>0</v>
      </c>
      <c r="G58" s="2" t="s">
        <v>223</v>
      </c>
      <c r="I58" s="2" t="s">
        <v>53</v>
      </c>
    </row>
    <row r="59" spans="1:9">
      <c r="A59" s="2" t="s">
        <v>224</v>
      </c>
      <c r="B59" s="2" t="s">
        <v>225</v>
      </c>
      <c r="C59" s="2" t="s">
        <v>148</v>
      </c>
      <c r="D59" s="2" t="s">
        <v>58</v>
      </c>
      <c r="E59" s="2">
        <f>SUMIF('03_LOTES'!B:B, F59, '03_LOTES'!E:E)</f>
        <v>0</v>
      </c>
      <c r="F59" s="2">
        <f>A59 &amp; " | " &amp; B59 &amp; " | " &amp; C59</f>
        <v>0</v>
      </c>
      <c r="G59" s="2" t="s">
        <v>226</v>
      </c>
      <c r="I59" s="2" t="s">
        <v>53</v>
      </c>
    </row>
    <row r="60" spans="1:9">
      <c r="A60" s="2" t="s">
        <v>227</v>
      </c>
      <c r="B60" s="2" t="s">
        <v>171</v>
      </c>
      <c r="C60" s="2" t="s">
        <v>77</v>
      </c>
      <c r="D60" s="2" t="s">
        <v>73</v>
      </c>
      <c r="E60" s="2">
        <f>SUMIF('03_LOTES'!B:B, F60, '03_LOTES'!E:E)</f>
        <v>0</v>
      </c>
      <c r="F60" s="2">
        <f>A60 &amp; " | " &amp; B60 &amp; " | " &amp; C60</f>
        <v>0</v>
      </c>
      <c r="G60" s="2" t="s">
        <v>228</v>
      </c>
      <c r="I60" s="2" t="s">
        <v>53</v>
      </c>
    </row>
    <row r="61" spans="1:9">
      <c r="A61" s="2" t="s">
        <v>227</v>
      </c>
      <c r="B61" s="2" t="s">
        <v>229</v>
      </c>
      <c r="C61" s="2" t="s">
        <v>77</v>
      </c>
      <c r="D61" s="2" t="s">
        <v>73</v>
      </c>
      <c r="E61" s="2">
        <f>SUMIF('03_LOTES'!B:B, F61, '03_LOTES'!E:E)</f>
        <v>0</v>
      </c>
      <c r="F61" s="2">
        <f>A61 &amp; " | " &amp; B61 &amp; " | " &amp; C61</f>
        <v>0</v>
      </c>
      <c r="G61" s="2" t="s">
        <v>230</v>
      </c>
      <c r="I61" s="2" t="s">
        <v>53</v>
      </c>
    </row>
    <row r="62" spans="1:9">
      <c r="A62" s="2" t="s">
        <v>231</v>
      </c>
      <c r="B62" s="2" t="s">
        <v>232</v>
      </c>
      <c r="C62" s="2" t="s">
        <v>96</v>
      </c>
      <c r="D62" s="2" t="s">
        <v>73</v>
      </c>
      <c r="E62" s="2">
        <f>SUMIF('03_LOTES'!B:B, F62, '03_LOTES'!E:E)</f>
        <v>0</v>
      </c>
      <c r="F62" s="2">
        <f>A62 &amp; " | " &amp; B62 &amp; " | " &amp; C62</f>
        <v>0</v>
      </c>
      <c r="G62" s="2" t="s">
        <v>233</v>
      </c>
      <c r="I62" s="2" t="s">
        <v>53</v>
      </c>
    </row>
    <row r="63" spans="1:9">
      <c r="A63" s="2" t="s">
        <v>234</v>
      </c>
      <c r="B63" s="2" t="s">
        <v>235</v>
      </c>
      <c r="C63" s="2" t="s">
        <v>96</v>
      </c>
      <c r="D63" s="2" t="s">
        <v>73</v>
      </c>
      <c r="E63" s="2">
        <f>SUMIF('03_LOTES'!B:B, F63, '03_LOTES'!E:E)</f>
        <v>0</v>
      </c>
      <c r="F63" s="2">
        <f>A63 &amp; " | " &amp; B63 &amp; " | " &amp; C63</f>
        <v>0</v>
      </c>
      <c r="G63" s="2" t="s">
        <v>236</v>
      </c>
      <c r="I63" s="2" t="s">
        <v>53</v>
      </c>
    </row>
    <row r="64" spans="1:9">
      <c r="A64" s="2" t="s">
        <v>234</v>
      </c>
      <c r="B64" s="2" t="s">
        <v>237</v>
      </c>
      <c r="C64" s="2" t="s">
        <v>238</v>
      </c>
      <c r="D64" s="2" t="s">
        <v>73</v>
      </c>
      <c r="E64" s="2">
        <f>SUMIF('03_LOTES'!B:B, F64, '03_LOTES'!E:E)</f>
        <v>0</v>
      </c>
      <c r="F64" s="2">
        <f>A64 &amp; " | " &amp; B64 &amp; " | " &amp; C64</f>
        <v>0</v>
      </c>
      <c r="G64" s="2" t="s">
        <v>239</v>
      </c>
      <c r="I64" s="2" t="s">
        <v>53</v>
      </c>
    </row>
    <row r="65" spans="1:9">
      <c r="A65" s="2" t="s">
        <v>240</v>
      </c>
      <c r="B65" s="2" t="s">
        <v>151</v>
      </c>
      <c r="C65" s="2" t="s">
        <v>77</v>
      </c>
      <c r="D65" s="2" t="s">
        <v>73</v>
      </c>
      <c r="E65" s="2">
        <f>SUMIF('03_LOTES'!B:B, F65, '03_LOTES'!E:E)</f>
        <v>0</v>
      </c>
      <c r="F65" s="2">
        <f>A65 &amp; " | " &amp; B65 &amp; " | " &amp; C65</f>
        <v>0</v>
      </c>
      <c r="G65" s="2" t="s">
        <v>241</v>
      </c>
      <c r="I65" s="2" t="s">
        <v>53</v>
      </c>
    </row>
    <row r="66" spans="1:9">
      <c r="A66" s="2" t="s">
        <v>240</v>
      </c>
      <c r="B66" s="2" t="s">
        <v>242</v>
      </c>
      <c r="C66" s="2" t="s">
        <v>96</v>
      </c>
      <c r="D66" s="2" t="s">
        <v>73</v>
      </c>
      <c r="E66" s="2">
        <f>SUMIF('03_LOTES'!B:B, F66, '03_LOTES'!E:E)</f>
        <v>0</v>
      </c>
      <c r="F66" s="2">
        <f>A66 &amp; " | " &amp; B66 &amp; " | " &amp; C66</f>
        <v>0</v>
      </c>
      <c r="G66" s="2" t="s">
        <v>243</v>
      </c>
      <c r="I66" s="2" t="s">
        <v>53</v>
      </c>
    </row>
    <row r="67" spans="1:9">
      <c r="A67" s="2" t="s">
        <v>244</v>
      </c>
      <c r="B67" s="2" t="s">
        <v>112</v>
      </c>
      <c r="C67" s="2" t="s">
        <v>77</v>
      </c>
      <c r="D67" s="2" t="s">
        <v>55</v>
      </c>
      <c r="E67" s="2">
        <f>SUMIF('03_LOTES'!B:B, F67, '03_LOTES'!E:E)</f>
        <v>0</v>
      </c>
      <c r="F67" s="2">
        <f>A67 &amp; " | " &amp; B67 &amp; " | " &amp; C67</f>
        <v>0</v>
      </c>
      <c r="G67" s="2" t="s">
        <v>245</v>
      </c>
      <c r="I67" s="2" t="s">
        <v>53</v>
      </c>
    </row>
    <row r="68" spans="1:9">
      <c r="A68" s="2" t="s">
        <v>244</v>
      </c>
      <c r="B68" s="2" t="s">
        <v>104</v>
      </c>
      <c r="C68" s="2" t="s">
        <v>105</v>
      </c>
      <c r="D68" s="2" t="s">
        <v>55</v>
      </c>
      <c r="E68" s="2">
        <f>SUMIF('03_LOTES'!B:B, F68, '03_LOTES'!E:E)</f>
        <v>0</v>
      </c>
      <c r="F68" s="2">
        <f>A68 &amp; " | " &amp; B68 &amp; " | " &amp; C68</f>
        <v>0</v>
      </c>
      <c r="G68" s="2" t="s">
        <v>246</v>
      </c>
      <c r="I68" s="2" t="s">
        <v>53</v>
      </c>
    </row>
    <row r="69" spans="1:9">
      <c r="A69" s="2" t="s">
        <v>247</v>
      </c>
      <c r="B69" s="2" t="s">
        <v>248</v>
      </c>
      <c r="C69" s="2" t="s">
        <v>249</v>
      </c>
      <c r="D69" s="2" t="s">
        <v>73</v>
      </c>
      <c r="E69" s="2">
        <f>SUMIF('03_LOTES'!B:B, F69, '03_LOTES'!E:E)</f>
        <v>0</v>
      </c>
      <c r="F69" s="2">
        <f>A69 &amp; " | " &amp; B69 &amp; " | " &amp; C69</f>
        <v>0</v>
      </c>
      <c r="G69" s="2" t="s">
        <v>250</v>
      </c>
      <c r="I69" s="2" t="s">
        <v>53</v>
      </c>
    </row>
    <row r="70" spans="1:9">
      <c r="A70" s="2" t="s">
        <v>251</v>
      </c>
      <c r="B70" s="2" t="s">
        <v>229</v>
      </c>
      <c r="C70" s="2" t="s">
        <v>252</v>
      </c>
      <c r="D70" s="2" t="s">
        <v>73</v>
      </c>
      <c r="E70" s="2">
        <f>SUMIF('03_LOTES'!B:B, F70, '03_LOTES'!E:E)</f>
        <v>0</v>
      </c>
      <c r="F70" s="2">
        <f>A70 &amp; " | " &amp; B70 &amp; " | " &amp; C70</f>
        <v>0</v>
      </c>
      <c r="G70" s="2" t="s">
        <v>253</v>
      </c>
      <c r="I70" s="2" t="s">
        <v>53</v>
      </c>
    </row>
    <row r="71" spans="1:9">
      <c r="A71" s="2" t="s">
        <v>254</v>
      </c>
      <c r="B71" s="2" t="s">
        <v>255</v>
      </c>
      <c r="C71" s="2" t="s">
        <v>256</v>
      </c>
      <c r="D71" s="2" t="s">
        <v>73</v>
      </c>
      <c r="E71" s="2">
        <f>SUMIF('03_LOTES'!B:B, F71, '03_LOTES'!E:E)</f>
        <v>0</v>
      </c>
      <c r="F71" s="2">
        <f>A71 &amp; " | " &amp; B71 &amp; " | " &amp; C71</f>
        <v>0</v>
      </c>
      <c r="G71" s="2" t="s">
        <v>257</v>
      </c>
      <c r="I71" s="2" t="s">
        <v>53</v>
      </c>
    </row>
    <row r="72" spans="1:9">
      <c r="A72" s="2" t="s">
        <v>258</v>
      </c>
      <c r="B72" s="2" t="s">
        <v>225</v>
      </c>
      <c r="C72" s="2" t="s">
        <v>77</v>
      </c>
      <c r="D72" s="2" t="s">
        <v>73</v>
      </c>
      <c r="E72" s="2">
        <f>SUMIF('03_LOTES'!B:B, F72, '03_LOTES'!E:E)</f>
        <v>0</v>
      </c>
      <c r="F72" s="2">
        <f>A72 &amp; " | " &amp; B72 &amp; " | " &amp; C72</f>
        <v>0</v>
      </c>
      <c r="G72" s="2" t="s">
        <v>259</v>
      </c>
      <c r="I72" s="2" t="s">
        <v>53</v>
      </c>
    </row>
    <row r="73" spans="1:9">
      <c r="A73" s="2" t="s">
        <v>260</v>
      </c>
      <c r="B73" s="2" t="s">
        <v>261</v>
      </c>
      <c r="C73" s="2" t="s">
        <v>96</v>
      </c>
      <c r="D73" s="2" t="s">
        <v>55</v>
      </c>
      <c r="E73" s="2">
        <f>SUMIF('03_LOTES'!B:B, F73, '03_LOTES'!E:E)</f>
        <v>0</v>
      </c>
      <c r="F73" s="2">
        <f>A73 &amp; " | " &amp; B73 &amp; " | " &amp; C73</f>
        <v>0</v>
      </c>
      <c r="G73" s="2" t="s">
        <v>262</v>
      </c>
      <c r="I73" s="2" t="s">
        <v>53</v>
      </c>
    </row>
    <row r="74" spans="1:9">
      <c r="A74" s="2" t="s">
        <v>260</v>
      </c>
      <c r="B74" s="2" t="s">
        <v>263</v>
      </c>
      <c r="C74" s="2" t="s">
        <v>96</v>
      </c>
      <c r="D74" s="2" t="s">
        <v>55</v>
      </c>
      <c r="E74" s="2">
        <f>SUMIF('03_LOTES'!B:B, F74, '03_LOTES'!E:E)</f>
        <v>0</v>
      </c>
      <c r="F74" s="2">
        <f>A74 &amp; " | " &amp; B74 &amp; " | " &amp; C74</f>
        <v>0</v>
      </c>
      <c r="G74" s="2" t="s">
        <v>264</v>
      </c>
      <c r="I74" s="2" t="s">
        <v>53</v>
      </c>
    </row>
    <row r="75" spans="1:9">
      <c r="A75" s="2" t="s">
        <v>260</v>
      </c>
      <c r="B75" s="2" t="s">
        <v>265</v>
      </c>
      <c r="C75" s="2" t="s">
        <v>96</v>
      </c>
      <c r="D75" s="2" t="s">
        <v>55</v>
      </c>
      <c r="E75" s="2">
        <f>SUMIF('03_LOTES'!B:B, F75, '03_LOTES'!E:E)</f>
        <v>0</v>
      </c>
      <c r="F75" s="2">
        <f>A75 &amp; " | " &amp; B75 &amp; " | " &amp; C75</f>
        <v>0</v>
      </c>
      <c r="G75" s="2" t="s">
        <v>266</v>
      </c>
      <c r="I75" s="2" t="s">
        <v>53</v>
      </c>
    </row>
    <row r="76" spans="1:9">
      <c r="A76" s="2" t="s">
        <v>267</v>
      </c>
      <c r="B76" s="2" t="s">
        <v>268</v>
      </c>
      <c r="C76" s="2" t="s">
        <v>96</v>
      </c>
      <c r="D76" s="2" t="s">
        <v>55</v>
      </c>
      <c r="E76" s="2">
        <f>SUMIF('03_LOTES'!B:B, F76, '03_LOTES'!E:E)</f>
        <v>0</v>
      </c>
      <c r="F76" s="2">
        <f>A76 &amp; " | " &amp; B76 &amp; " | " &amp; C76</f>
        <v>0</v>
      </c>
      <c r="G76" s="2" t="s">
        <v>269</v>
      </c>
      <c r="I76" s="2" t="s">
        <v>53</v>
      </c>
    </row>
    <row r="77" spans="1:9">
      <c r="A77" s="2" t="s">
        <v>267</v>
      </c>
      <c r="B77" s="2" t="s">
        <v>270</v>
      </c>
      <c r="C77" s="2" t="s">
        <v>96</v>
      </c>
      <c r="D77" s="2" t="s">
        <v>55</v>
      </c>
      <c r="E77" s="2">
        <f>SUMIF('03_LOTES'!B:B, F77, '03_LOTES'!E:E)</f>
        <v>0</v>
      </c>
      <c r="F77" s="2">
        <f>A77 &amp; " | " &amp; B77 &amp; " | " &amp; C77</f>
        <v>0</v>
      </c>
      <c r="G77" s="2" t="s">
        <v>271</v>
      </c>
      <c r="I77" s="2" t="s">
        <v>53</v>
      </c>
    </row>
    <row r="78" spans="1:9">
      <c r="A78" s="2" t="s">
        <v>272</v>
      </c>
      <c r="B78" s="2" t="s">
        <v>273</v>
      </c>
      <c r="C78" s="2" t="s">
        <v>96</v>
      </c>
      <c r="D78" s="2" t="s">
        <v>55</v>
      </c>
      <c r="E78" s="2">
        <f>SUMIF('03_LOTES'!B:B, F78, '03_LOTES'!E:E)</f>
        <v>0</v>
      </c>
      <c r="F78" s="2">
        <f>A78 &amp; " | " &amp; B78 &amp; " | " &amp; C78</f>
        <v>0</v>
      </c>
      <c r="G78" s="2" t="s">
        <v>274</v>
      </c>
      <c r="I78" s="2" t="s">
        <v>53</v>
      </c>
    </row>
    <row r="79" spans="1:9">
      <c r="A79" s="2" t="s">
        <v>272</v>
      </c>
      <c r="B79" s="2" t="s">
        <v>275</v>
      </c>
      <c r="C79" s="2" t="s">
        <v>96</v>
      </c>
      <c r="D79" s="2" t="s">
        <v>55</v>
      </c>
      <c r="E79" s="2">
        <f>SUMIF('03_LOTES'!B:B, F79, '03_LOTES'!E:E)</f>
        <v>0</v>
      </c>
      <c r="F79" s="2">
        <f>A79 &amp; " | " &amp; B79 &amp; " | " &amp; C79</f>
        <v>0</v>
      </c>
      <c r="G79" s="2" t="s">
        <v>276</v>
      </c>
      <c r="I79" s="2" t="s">
        <v>53</v>
      </c>
    </row>
    <row r="80" spans="1:9">
      <c r="A80" s="2" t="s">
        <v>277</v>
      </c>
      <c r="B80" s="2" t="s">
        <v>225</v>
      </c>
      <c r="C80" s="2" t="s">
        <v>77</v>
      </c>
      <c r="D80" s="2" t="s">
        <v>73</v>
      </c>
      <c r="E80" s="2">
        <f>SUMIF('03_LOTES'!B:B, F80, '03_LOTES'!E:E)</f>
        <v>0</v>
      </c>
      <c r="F80" s="2">
        <f>A80 &amp; " | " &amp; B80 &amp; " | " &amp; C80</f>
        <v>0</v>
      </c>
      <c r="G80" s="2" t="s">
        <v>278</v>
      </c>
      <c r="I80" s="2" t="s">
        <v>53</v>
      </c>
    </row>
    <row r="81" spans="1:9">
      <c r="A81" s="2" t="s">
        <v>277</v>
      </c>
      <c r="B81" s="2" t="s">
        <v>279</v>
      </c>
      <c r="C81" s="2" t="s">
        <v>77</v>
      </c>
      <c r="D81" s="2" t="s">
        <v>73</v>
      </c>
      <c r="E81" s="2">
        <f>SUMIF('03_LOTES'!B:B, F81, '03_LOTES'!E:E)</f>
        <v>0</v>
      </c>
      <c r="F81" s="2">
        <f>A81 &amp; " | " &amp; B81 &amp; " | " &amp; C81</f>
        <v>0</v>
      </c>
      <c r="G81" s="2" t="s">
        <v>280</v>
      </c>
      <c r="I81" s="2" t="s">
        <v>53</v>
      </c>
    </row>
    <row r="82" spans="1:9">
      <c r="A82" s="2" t="s">
        <v>277</v>
      </c>
      <c r="B82" s="2" t="s">
        <v>151</v>
      </c>
      <c r="C82" s="2" t="s">
        <v>77</v>
      </c>
      <c r="D82" s="2" t="s">
        <v>73</v>
      </c>
      <c r="E82" s="2">
        <f>SUMIF('03_LOTES'!B:B, F82, '03_LOTES'!E:E)</f>
        <v>0</v>
      </c>
      <c r="F82" s="2">
        <f>A82 &amp; " | " &amp; B82 &amp; " | " &amp; C82</f>
        <v>0</v>
      </c>
      <c r="G82" s="2" t="s">
        <v>281</v>
      </c>
      <c r="I82" s="2" t="s">
        <v>53</v>
      </c>
    </row>
    <row r="83" spans="1:9">
      <c r="A83" s="2" t="s">
        <v>282</v>
      </c>
      <c r="B83" s="2" t="s">
        <v>283</v>
      </c>
      <c r="C83" s="2" t="s">
        <v>284</v>
      </c>
      <c r="D83" s="2" t="s">
        <v>73</v>
      </c>
      <c r="E83" s="2">
        <f>SUMIF('03_LOTES'!B:B, F83, '03_LOTES'!E:E)</f>
        <v>0</v>
      </c>
      <c r="F83" s="2">
        <f>A83 &amp; " | " &amp; B83 &amp; " | " &amp; C83</f>
        <v>0</v>
      </c>
      <c r="G83" s="2" t="s">
        <v>285</v>
      </c>
      <c r="I83" s="2" t="s">
        <v>53</v>
      </c>
    </row>
    <row r="84" spans="1:9">
      <c r="A84" s="2" t="s">
        <v>286</v>
      </c>
      <c r="B84" s="2" t="s">
        <v>287</v>
      </c>
      <c r="C84" s="2" t="s">
        <v>96</v>
      </c>
      <c r="D84" s="2" t="s">
        <v>73</v>
      </c>
      <c r="E84" s="2">
        <f>SUMIF('03_LOTES'!B:B, F84, '03_LOTES'!E:E)</f>
        <v>0</v>
      </c>
      <c r="F84" s="2">
        <f>A84 &amp; " | " &amp; B84 &amp; " | " &amp; C84</f>
        <v>0</v>
      </c>
      <c r="G84" s="2" t="s">
        <v>288</v>
      </c>
      <c r="I84" s="2" t="s">
        <v>53</v>
      </c>
    </row>
    <row r="85" spans="1:9">
      <c r="A85" s="2" t="s">
        <v>289</v>
      </c>
      <c r="B85" s="2" t="s">
        <v>290</v>
      </c>
      <c r="C85" s="2" t="s">
        <v>249</v>
      </c>
      <c r="D85" s="2" t="s">
        <v>73</v>
      </c>
      <c r="E85" s="2">
        <f>SUMIF('03_LOTES'!B:B, F85, '03_LOTES'!E:E)</f>
        <v>0</v>
      </c>
      <c r="F85" s="2">
        <f>A85 &amp; " | " &amp; B85 &amp; " | " &amp; C85</f>
        <v>0</v>
      </c>
      <c r="G85" s="2" t="s">
        <v>291</v>
      </c>
      <c r="I85" s="2" t="s">
        <v>53</v>
      </c>
    </row>
    <row r="86" spans="1:9">
      <c r="A86" s="2" t="s">
        <v>292</v>
      </c>
      <c r="B86" s="2" t="s">
        <v>293</v>
      </c>
      <c r="C86" s="2" t="s">
        <v>96</v>
      </c>
      <c r="D86" s="2" t="s">
        <v>73</v>
      </c>
      <c r="E86" s="2">
        <f>SUMIF('03_LOTES'!B:B, F86, '03_LOTES'!E:E)</f>
        <v>0</v>
      </c>
      <c r="F86" s="2">
        <f>A86 &amp; " | " &amp; B86 &amp; " | " &amp; C86</f>
        <v>0</v>
      </c>
      <c r="G86" s="2" t="s">
        <v>294</v>
      </c>
      <c r="I86" s="2" t="s">
        <v>53</v>
      </c>
    </row>
    <row r="87" spans="1:9">
      <c r="A87" s="2" t="s">
        <v>295</v>
      </c>
      <c r="B87" s="2" t="s">
        <v>151</v>
      </c>
      <c r="C87" s="2" t="s">
        <v>77</v>
      </c>
      <c r="D87" s="2" t="s">
        <v>73</v>
      </c>
      <c r="E87" s="2">
        <f>SUMIF('03_LOTES'!B:B, F87, '03_LOTES'!E:E)</f>
        <v>0</v>
      </c>
      <c r="F87" s="2">
        <f>A87 &amp; " | " &amp; B87 &amp; " | " &amp; C87</f>
        <v>0</v>
      </c>
      <c r="G87" s="2" t="s">
        <v>296</v>
      </c>
      <c r="I87" s="2" t="s">
        <v>53</v>
      </c>
    </row>
    <row r="88" spans="1:9">
      <c r="A88" s="2" t="s">
        <v>297</v>
      </c>
      <c r="B88" s="2" t="s">
        <v>298</v>
      </c>
      <c r="C88" s="2" t="s">
        <v>299</v>
      </c>
      <c r="D88" s="2" t="s">
        <v>70</v>
      </c>
      <c r="E88" s="2">
        <f>SUMIF('03_LOTES'!B:B, F88, '03_LOTES'!E:E)</f>
        <v>0</v>
      </c>
      <c r="F88" s="2">
        <f>A88 &amp; " | " &amp; B88 &amp; " | " &amp; C88</f>
        <v>0</v>
      </c>
      <c r="G88" s="2" t="s">
        <v>300</v>
      </c>
      <c r="I88" s="2" t="s">
        <v>53</v>
      </c>
    </row>
    <row r="89" spans="1:9">
      <c r="A89" s="2" t="s">
        <v>297</v>
      </c>
      <c r="B89" s="2" t="s">
        <v>301</v>
      </c>
      <c r="C89" s="2" t="s">
        <v>96</v>
      </c>
      <c r="D89" s="2" t="s">
        <v>70</v>
      </c>
      <c r="E89" s="2">
        <f>SUMIF('03_LOTES'!B:B, F89, '03_LOTES'!E:E)</f>
        <v>0</v>
      </c>
      <c r="F89" s="2">
        <f>A89 &amp; " | " &amp; B89 &amp; " | " &amp; C89</f>
        <v>0</v>
      </c>
      <c r="G89" s="2" t="s">
        <v>302</v>
      </c>
      <c r="I89" s="2" t="s">
        <v>53</v>
      </c>
    </row>
    <row r="90" spans="1:9">
      <c r="A90" s="2" t="s">
        <v>303</v>
      </c>
      <c r="B90" s="2" t="s">
        <v>304</v>
      </c>
      <c r="C90" s="2" t="s">
        <v>299</v>
      </c>
      <c r="D90" s="2" t="s">
        <v>70</v>
      </c>
      <c r="E90" s="2">
        <f>SUMIF('03_LOTES'!B:B, F90, '03_LOTES'!E:E)</f>
        <v>0</v>
      </c>
      <c r="F90" s="2">
        <f>A90 &amp; " | " &amp; B90 &amp; " | " &amp; C90</f>
        <v>0</v>
      </c>
      <c r="G90" s="2" t="s">
        <v>305</v>
      </c>
      <c r="I90" s="2" t="s">
        <v>53</v>
      </c>
    </row>
    <row r="91" spans="1:9">
      <c r="A91" s="2" t="s">
        <v>306</v>
      </c>
      <c r="B91" s="2" t="s">
        <v>287</v>
      </c>
      <c r="C91" s="2" t="s">
        <v>77</v>
      </c>
      <c r="D91" s="2" t="s">
        <v>73</v>
      </c>
      <c r="E91" s="2">
        <f>SUMIF('03_LOTES'!B:B, F91, '03_LOTES'!E:E)</f>
        <v>0</v>
      </c>
      <c r="F91" s="2">
        <f>A91 &amp; " | " &amp; B91 &amp; " | " &amp; C91</f>
        <v>0</v>
      </c>
      <c r="G91" s="2" t="s">
        <v>307</v>
      </c>
      <c r="I91" s="2" t="s">
        <v>53</v>
      </c>
    </row>
    <row r="92" spans="1:9">
      <c r="A92" s="2" t="s">
        <v>308</v>
      </c>
      <c r="B92" s="2" t="s">
        <v>309</v>
      </c>
      <c r="C92" s="2" t="s">
        <v>77</v>
      </c>
      <c r="D92" s="2" t="s">
        <v>73</v>
      </c>
      <c r="E92" s="2">
        <f>SUMIF('03_LOTES'!B:B, F92, '03_LOTES'!E:E)</f>
        <v>0</v>
      </c>
      <c r="F92" s="2">
        <f>A92 &amp; " | " &amp; B92 &amp; " | " &amp; C92</f>
        <v>0</v>
      </c>
      <c r="G92" s="2" t="s">
        <v>310</v>
      </c>
      <c r="I92" s="2" t="s">
        <v>53</v>
      </c>
    </row>
    <row r="93" spans="1:9">
      <c r="A93" s="2" t="s">
        <v>311</v>
      </c>
      <c r="B93" s="2" t="s">
        <v>309</v>
      </c>
      <c r="C93" s="2" t="s">
        <v>77</v>
      </c>
      <c r="D93" s="2" t="s">
        <v>58</v>
      </c>
      <c r="E93" s="2">
        <f>SUMIF('03_LOTES'!B:B, F93, '03_LOTES'!E:E)</f>
        <v>0</v>
      </c>
      <c r="F93" s="2">
        <f>A93 &amp; " | " &amp; B93 &amp; " | " &amp; C93</f>
        <v>0</v>
      </c>
      <c r="G93" s="2" t="s">
        <v>312</v>
      </c>
      <c r="I93" s="2" t="s">
        <v>53</v>
      </c>
    </row>
    <row r="94" spans="1:9">
      <c r="A94" s="2" t="s">
        <v>313</v>
      </c>
      <c r="B94" s="2" t="s">
        <v>314</v>
      </c>
      <c r="C94" s="2" t="s">
        <v>96</v>
      </c>
      <c r="D94" s="2" t="s">
        <v>73</v>
      </c>
      <c r="E94" s="2">
        <f>SUMIF('03_LOTES'!B:B, F94, '03_LOTES'!E:E)</f>
        <v>0</v>
      </c>
      <c r="F94" s="2">
        <f>A94 &amp; " | " &amp; B94 &amp; " | " &amp; C94</f>
        <v>0</v>
      </c>
      <c r="G94" s="2" t="s">
        <v>315</v>
      </c>
      <c r="I94" s="2" t="s">
        <v>53</v>
      </c>
    </row>
    <row r="95" spans="1:9">
      <c r="A95" s="2" t="s">
        <v>316</v>
      </c>
      <c r="B95" s="2" t="s">
        <v>317</v>
      </c>
      <c r="C95" s="2" t="s">
        <v>252</v>
      </c>
      <c r="D95" s="2" t="s">
        <v>73</v>
      </c>
      <c r="E95" s="2">
        <f>SUMIF('03_LOTES'!B:B, F95, '03_LOTES'!E:E)</f>
        <v>0</v>
      </c>
      <c r="F95" s="2">
        <f>A95 &amp; " | " &amp; B95 &amp; " | " &amp; C95</f>
        <v>0</v>
      </c>
      <c r="G95" s="2" t="s">
        <v>318</v>
      </c>
      <c r="I95" s="2" t="s">
        <v>53</v>
      </c>
    </row>
    <row r="96" spans="1:9">
      <c r="A96" s="2" t="s">
        <v>319</v>
      </c>
      <c r="B96" s="2" t="s">
        <v>320</v>
      </c>
      <c r="C96" s="2" t="s">
        <v>77</v>
      </c>
      <c r="D96" s="2" t="s">
        <v>73</v>
      </c>
      <c r="E96" s="2">
        <f>SUMIF('03_LOTES'!B:B, F96, '03_LOTES'!E:E)</f>
        <v>0</v>
      </c>
      <c r="F96" s="2">
        <f>A96 &amp; " | " &amp; B96 &amp; " | " &amp; C96</f>
        <v>0</v>
      </c>
      <c r="G96" s="2" t="s">
        <v>321</v>
      </c>
      <c r="I96" s="2" t="s">
        <v>53</v>
      </c>
    </row>
    <row r="97" spans="1:9">
      <c r="A97" s="2" t="s">
        <v>319</v>
      </c>
      <c r="B97" s="2" t="s">
        <v>309</v>
      </c>
      <c r="C97" s="2" t="s">
        <v>77</v>
      </c>
      <c r="D97" s="2" t="s">
        <v>73</v>
      </c>
      <c r="E97" s="2">
        <f>SUMIF('03_LOTES'!B:B, F97, '03_LOTES'!E:E)</f>
        <v>0</v>
      </c>
      <c r="F97" s="2">
        <f>A97 &amp; " | " &amp; B97 &amp; " | " &amp; C97</f>
        <v>0</v>
      </c>
      <c r="G97" s="2" t="s">
        <v>322</v>
      </c>
      <c r="I97" s="2" t="s">
        <v>53</v>
      </c>
    </row>
    <row r="98" spans="1:9">
      <c r="A98" s="2" t="s">
        <v>323</v>
      </c>
      <c r="B98" s="2" t="s">
        <v>324</v>
      </c>
      <c r="C98" s="2" t="s">
        <v>256</v>
      </c>
      <c r="D98" s="2" t="s">
        <v>73</v>
      </c>
      <c r="E98" s="2">
        <f>SUMIF('03_LOTES'!B:B, F98, '03_LOTES'!E:E)</f>
        <v>0</v>
      </c>
      <c r="F98" s="2">
        <f>A98 &amp; " | " &amp; B98 &amp; " | " &amp; C98</f>
        <v>0</v>
      </c>
      <c r="G98" s="2" t="s">
        <v>325</v>
      </c>
      <c r="I98" s="2" t="s">
        <v>53</v>
      </c>
    </row>
    <row r="99" spans="1:9">
      <c r="A99" s="2" t="s">
        <v>326</v>
      </c>
      <c r="B99" s="2" t="s">
        <v>327</v>
      </c>
      <c r="C99" s="2" t="s">
        <v>96</v>
      </c>
      <c r="D99" s="2" t="s">
        <v>73</v>
      </c>
      <c r="E99" s="2">
        <f>SUMIF('03_LOTES'!B:B, F99, '03_LOTES'!E:E)</f>
        <v>0</v>
      </c>
      <c r="F99" s="2">
        <f>A99 &amp; " | " &amp; B99 &amp; " | " &amp; C99</f>
        <v>0</v>
      </c>
      <c r="G99" s="2" t="s">
        <v>328</v>
      </c>
      <c r="I99" s="2" t="s">
        <v>53</v>
      </c>
    </row>
    <row r="100" spans="1:9">
      <c r="A100" s="2" t="s">
        <v>329</v>
      </c>
      <c r="B100" s="2" t="s">
        <v>327</v>
      </c>
      <c r="C100" s="2" t="s">
        <v>96</v>
      </c>
      <c r="D100" s="2" t="s">
        <v>73</v>
      </c>
      <c r="E100" s="2">
        <f>SUMIF('03_LOTES'!B:B, F100, '03_LOTES'!E:E)</f>
        <v>0</v>
      </c>
      <c r="F100" s="2">
        <f>A100 &amp; " | " &amp; B100 &amp; " | " &amp; C100</f>
        <v>0</v>
      </c>
      <c r="G100" s="2" t="s">
        <v>330</v>
      </c>
      <c r="I100" s="2" t="s">
        <v>53</v>
      </c>
    </row>
    <row r="101" spans="1:9">
      <c r="A101" s="2" t="s">
        <v>331</v>
      </c>
      <c r="B101" s="2" t="s">
        <v>332</v>
      </c>
      <c r="C101" s="2" t="s">
        <v>96</v>
      </c>
      <c r="D101" s="2" t="s">
        <v>73</v>
      </c>
      <c r="E101" s="2">
        <f>SUMIF('03_LOTES'!B:B, F101, '03_LOTES'!E:E)</f>
        <v>0</v>
      </c>
      <c r="F101" s="2">
        <f>A101 &amp; " | " &amp; B101 &amp; " | " &amp; C101</f>
        <v>0</v>
      </c>
      <c r="G101" s="2" t="s">
        <v>333</v>
      </c>
      <c r="I101" s="2" t="s">
        <v>53</v>
      </c>
    </row>
    <row r="102" spans="1:9">
      <c r="A102" s="2" t="s">
        <v>334</v>
      </c>
      <c r="B102" s="2" t="s">
        <v>335</v>
      </c>
      <c r="C102" s="2" t="s">
        <v>77</v>
      </c>
      <c r="D102" s="2" t="s">
        <v>73</v>
      </c>
      <c r="E102" s="2">
        <f>SUMIF('03_LOTES'!B:B, F102, '03_LOTES'!E:E)</f>
        <v>0</v>
      </c>
      <c r="F102" s="2">
        <f>A102 &amp; " | " &amp; B102 &amp; " | " &amp; C102</f>
        <v>0</v>
      </c>
      <c r="G102" s="2" t="s">
        <v>336</v>
      </c>
      <c r="I102" s="2" t="s">
        <v>53</v>
      </c>
    </row>
    <row r="103" spans="1:9">
      <c r="A103" s="2" t="s">
        <v>337</v>
      </c>
      <c r="B103" s="2" t="s">
        <v>171</v>
      </c>
      <c r="C103" s="2" t="s">
        <v>77</v>
      </c>
      <c r="D103" s="2" t="s">
        <v>73</v>
      </c>
      <c r="E103" s="2">
        <f>SUMIF('03_LOTES'!B:B, F103, '03_LOTES'!E:E)</f>
        <v>0</v>
      </c>
      <c r="F103" s="2">
        <f>A103 &amp; " | " &amp; B103 &amp; " | " &amp; C103</f>
        <v>0</v>
      </c>
      <c r="G103" s="2" t="s">
        <v>338</v>
      </c>
      <c r="I103" s="2" t="s">
        <v>53</v>
      </c>
    </row>
    <row r="104" spans="1:9">
      <c r="A104" s="2" t="s">
        <v>337</v>
      </c>
      <c r="B104" s="2" t="s">
        <v>290</v>
      </c>
      <c r="C104" s="2" t="s">
        <v>339</v>
      </c>
      <c r="D104" s="2" t="s">
        <v>73</v>
      </c>
      <c r="E104" s="2">
        <f>SUMIF('03_LOTES'!B:B, F104, '03_LOTES'!E:E)</f>
        <v>0</v>
      </c>
      <c r="F104" s="2">
        <f>A104 &amp; " | " &amp; B104 &amp; " | " &amp; C104</f>
        <v>0</v>
      </c>
      <c r="G104" s="2" t="s">
        <v>340</v>
      </c>
      <c r="I104" s="2" t="s">
        <v>53</v>
      </c>
    </row>
    <row r="105" spans="1:9">
      <c r="A105" s="2" t="s">
        <v>337</v>
      </c>
      <c r="B105" s="2" t="s">
        <v>242</v>
      </c>
      <c r="C105" s="2" t="s">
        <v>96</v>
      </c>
      <c r="D105" s="2" t="s">
        <v>73</v>
      </c>
      <c r="E105" s="2">
        <f>SUMIF('03_LOTES'!B:B, F105, '03_LOTES'!E:E)</f>
        <v>0</v>
      </c>
      <c r="F105" s="2">
        <f>A105 &amp; " | " &amp; B105 &amp; " | " &amp; C105</f>
        <v>0</v>
      </c>
      <c r="G105" s="2" t="s">
        <v>341</v>
      </c>
      <c r="I105" s="2" t="s">
        <v>53</v>
      </c>
    </row>
    <row r="106" spans="1:9">
      <c r="A106" s="2" t="s">
        <v>342</v>
      </c>
      <c r="B106" s="2" t="s">
        <v>147</v>
      </c>
      <c r="C106" s="2" t="s">
        <v>77</v>
      </c>
      <c r="D106" s="2" t="s">
        <v>73</v>
      </c>
      <c r="E106" s="2">
        <f>SUMIF('03_LOTES'!B:B, F106, '03_LOTES'!E:E)</f>
        <v>0</v>
      </c>
      <c r="F106" s="2">
        <f>A106 &amp; " | " &amp; B106 &amp; " | " &amp; C106</f>
        <v>0</v>
      </c>
      <c r="G106" s="2" t="s">
        <v>343</v>
      </c>
      <c r="I106" s="2" t="s">
        <v>53</v>
      </c>
    </row>
    <row r="107" spans="1:9">
      <c r="A107" s="2" t="s">
        <v>344</v>
      </c>
      <c r="B107" s="2" t="s">
        <v>242</v>
      </c>
      <c r="C107" s="2" t="s">
        <v>96</v>
      </c>
      <c r="D107" s="2" t="s">
        <v>73</v>
      </c>
      <c r="E107" s="2">
        <f>SUMIF('03_LOTES'!B:B, F107, '03_LOTES'!E:E)</f>
        <v>0</v>
      </c>
      <c r="F107" s="2">
        <f>A107 &amp; " | " &amp; B107 &amp; " | " &amp; C107</f>
        <v>0</v>
      </c>
      <c r="G107" s="2" t="s">
        <v>345</v>
      </c>
      <c r="I107" s="2" t="s">
        <v>53</v>
      </c>
    </row>
    <row r="108" spans="1:9">
      <c r="A108" s="2" t="s">
        <v>346</v>
      </c>
      <c r="B108" s="2" t="s">
        <v>347</v>
      </c>
      <c r="C108" s="2" t="s">
        <v>77</v>
      </c>
      <c r="D108" s="2" t="s">
        <v>67</v>
      </c>
      <c r="E108" s="2">
        <f>SUMIF('03_LOTES'!B:B, F108, '03_LOTES'!E:E)</f>
        <v>0</v>
      </c>
      <c r="F108" s="2">
        <f>A108 &amp; " | " &amp; B108 &amp; " | " &amp; C108</f>
        <v>0</v>
      </c>
      <c r="G108" s="2" t="s">
        <v>348</v>
      </c>
      <c r="I108" s="2" t="s">
        <v>53</v>
      </c>
    </row>
    <row r="109" spans="1:9">
      <c r="A109" s="2" t="s">
        <v>349</v>
      </c>
      <c r="B109" s="2" t="s">
        <v>350</v>
      </c>
      <c r="C109" s="2" t="s">
        <v>351</v>
      </c>
      <c r="D109" s="2" t="s">
        <v>67</v>
      </c>
      <c r="E109" s="2">
        <f>SUMIF('03_LOTES'!B:B, F109, '03_LOTES'!E:E)</f>
        <v>0</v>
      </c>
      <c r="F109" s="2">
        <f>A109 &amp; " | " &amp; B109 &amp; " | " &amp; C109</f>
        <v>0</v>
      </c>
      <c r="G109" s="2" t="s">
        <v>352</v>
      </c>
      <c r="I109" s="2" t="s">
        <v>53</v>
      </c>
    </row>
    <row r="110" spans="1:9">
      <c r="A110" s="2" t="s">
        <v>353</v>
      </c>
      <c r="B110" s="2" t="s">
        <v>112</v>
      </c>
      <c r="C110" s="2" t="s">
        <v>77</v>
      </c>
      <c r="D110" s="2" t="s">
        <v>73</v>
      </c>
      <c r="E110" s="2">
        <f>SUMIF('03_LOTES'!B:B, F110, '03_LOTES'!E:E)</f>
        <v>0</v>
      </c>
      <c r="F110" s="2">
        <f>A110 &amp; " | " &amp; B110 &amp; " | " &amp; C110</f>
        <v>0</v>
      </c>
      <c r="G110" s="2" t="s">
        <v>354</v>
      </c>
      <c r="I110" s="2" t="s">
        <v>53</v>
      </c>
    </row>
    <row r="111" spans="1:9">
      <c r="A111" s="2" t="s">
        <v>355</v>
      </c>
      <c r="B111" s="2" t="s">
        <v>174</v>
      </c>
      <c r="C111" s="2" t="s">
        <v>96</v>
      </c>
      <c r="D111" s="2" t="s">
        <v>73</v>
      </c>
      <c r="E111" s="2">
        <f>SUMIF('03_LOTES'!B:B, F111, '03_LOTES'!E:E)</f>
        <v>0</v>
      </c>
      <c r="F111" s="2">
        <f>A111 &amp; " | " &amp; B111 &amp; " | " &amp; C111</f>
        <v>0</v>
      </c>
      <c r="G111" s="2" t="s">
        <v>356</v>
      </c>
      <c r="I111" s="2" t="s">
        <v>53</v>
      </c>
    </row>
    <row r="112" spans="1:9">
      <c r="A112" s="2" t="s">
        <v>357</v>
      </c>
      <c r="B112" s="2" t="s">
        <v>107</v>
      </c>
      <c r="C112" s="2" t="s">
        <v>77</v>
      </c>
      <c r="D112" s="2" t="s">
        <v>73</v>
      </c>
      <c r="E112" s="2">
        <f>SUMIF('03_LOTES'!B:B, F112, '03_LOTES'!E:E)</f>
        <v>0</v>
      </c>
      <c r="F112" s="2">
        <f>A112 &amp; " | " &amp; B112 &amp; " | " &amp; C112</f>
        <v>0</v>
      </c>
      <c r="G112" s="2" t="s">
        <v>358</v>
      </c>
      <c r="I112" s="2" t="s">
        <v>53</v>
      </c>
    </row>
    <row r="113" spans="1:9">
      <c r="A113" s="2" t="s">
        <v>357</v>
      </c>
      <c r="B113" s="2" t="s">
        <v>359</v>
      </c>
      <c r="C113" s="2" t="s">
        <v>360</v>
      </c>
      <c r="D113" s="2" t="s">
        <v>73</v>
      </c>
      <c r="E113" s="2">
        <f>SUMIF('03_LOTES'!B:B, F113, '03_LOTES'!E:E)</f>
        <v>0</v>
      </c>
      <c r="F113" s="2">
        <f>A113 &amp; " | " &amp; B113 &amp; " | " &amp; C113</f>
        <v>0</v>
      </c>
      <c r="G113" s="2" t="s">
        <v>361</v>
      </c>
      <c r="I113" s="2" t="s">
        <v>53</v>
      </c>
    </row>
    <row r="114" spans="1:9">
      <c r="A114" s="2" t="s">
        <v>362</v>
      </c>
      <c r="B114" s="2" t="s">
        <v>363</v>
      </c>
      <c r="C114" s="2" t="s">
        <v>96</v>
      </c>
      <c r="D114" s="2" t="s">
        <v>73</v>
      </c>
      <c r="E114" s="2">
        <f>SUMIF('03_LOTES'!B:B, F114, '03_LOTES'!E:E)</f>
        <v>0</v>
      </c>
      <c r="F114" s="2">
        <f>A114 &amp; " | " &amp; B114 &amp; " | " &amp; C114</f>
        <v>0</v>
      </c>
      <c r="G114" s="2" t="s">
        <v>364</v>
      </c>
      <c r="I114" s="2" t="s">
        <v>53</v>
      </c>
    </row>
    <row r="115" spans="1:9">
      <c r="A115" s="2" t="s">
        <v>365</v>
      </c>
      <c r="B115" s="2" t="s">
        <v>366</v>
      </c>
      <c r="C115" s="2" t="s">
        <v>96</v>
      </c>
      <c r="D115" s="2" t="s">
        <v>73</v>
      </c>
      <c r="E115" s="2">
        <f>SUMIF('03_LOTES'!B:B, F115, '03_LOTES'!E:E)</f>
        <v>0</v>
      </c>
      <c r="F115" s="2">
        <f>A115 &amp; " | " &amp; B115 &amp; " | " &amp; C115</f>
        <v>0</v>
      </c>
      <c r="G115" s="2" t="s">
        <v>367</v>
      </c>
      <c r="I115" s="2" t="s">
        <v>53</v>
      </c>
    </row>
    <row r="116" spans="1:9">
      <c r="A116" s="2" t="s">
        <v>365</v>
      </c>
      <c r="B116" s="2" t="s">
        <v>368</v>
      </c>
      <c r="C116" s="2" t="s">
        <v>96</v>
      </c>
      <c r="D116" s="2" t="s">
        <v>73</v>
      </c>
      <c r="E116" s="2">
        <f>SUMIF('03_LOTES'!B:B, F116, '03_LOTES'!E:E)</f>
        <v>0</v>
      </c>
      <c r="F116" s="2">
        <f>A116 &amp; " | " &amp; B116 &amp; " | " &amp; C116</f>
        <v>0</v>
      </c>
      <c r="G116" s="2" t="s">
        <v>369</v>
      </c>
      <c r="I116" s="2" t="s">
        <v>53</v>
      </c>
    </row>
    <row r="117" spans="1:9">
      <c r="A117" s="2" t="s">
        <v>370</v>
      </c>
      <c r="B117" s="2" t="s">
        <v>90</v>
      </c>
      <c r="C117" s="2" t="s">
        <v>299</v>
      </c>
      <c r="D117" s="2" t="s">
        <v>73</v>
      </c>
      <c r="E117" s="2">
        <f>SUMIF('03_LOTES'!B:B, F117, '03_LOTES'!E:E)</f>
        <v>0</v>
      </c>
      <c r="F117" s="2">
        <f>A117 &amp; " | " &amp; B117 &amp; " | " &amp; C117</f>
        <v>0</v>
      </c>
      <c r="G117" s="2" t="s">
        <v>371</v>
      </c>
      <c r="I117" s="2" t="s">
        <v>53</v>
      </c>
    </row>
    <row r="118" spans="1:9">
      <c r="A118" s="2" t="s">
        <v>372</v>
      </c>
      <c r="B118" s="2" t="s">
        <v>373</v>
      </c>
      <c r="C118" s="2" t="s">
        <v>77</v>
      </c>
      <c r="D118" s="2" t="s">
        <v>58</v>
      </c>
      <c r="E118" s="2">
        <f>SUMIF('03_LOTES'!B:B, F118, '03_LOTES'!E:E)</f>
        <v>0</v>
      </c>
      <c r="F118" s="2">
        <f>A118 &amp; " | " &amp; B118 &amp; " | " &amp; C118</f>
        <v>0</v>
      </c>
      <c r="G118" s="2" t="s">
        <v>374</v>
      </c>
      <c r="I118" s="2" t="s">
        <v>53</v>
      </c>
    </row>
    <row r="119" spans="1:9">
      <c r="A119" s="2" t="s">
        <v>372</v>
      </c>
      <c r="B119" s="2" t="s">
        <v>279</v>
      </c>
      <c r="C119" s="2" t="s">
        <v>77</v>
      </c>
      <c r="D119" s="2" t="s">
        <v>58</v>
      </c>
      <c r="E119" s="2">
        <f>SUMIF('03_LOTES'!B:B, F119, '03_LOTES'!E:E)</f>
        <v>0</v>
      </c>
      <c r="F119" s="2">
        <f>A119 &amp; " | " &amp; B119 &amp; " | " &amp; C119</f>
        <v>0</v>
      </c>
      <c r="G119" s="2" t="s">
        <v>375</v>
      </c>
      <c r="I119" s="2" t="s">
        <v>53</v>
      </c>
    </row>
    <row r="120" spans="1:9">
      <c r="A120" s="2" t="s">
        <v>376</v>
      </c>
      <c r="B120" s="2" t="s">
        <v>174</v>
      </c>
      <c r="C120" s="2" t="s">
        <v>96</v>
      </c>
      <c r="D120" s="2" t="s">
        <v>55</v>
      </c>
      <c r="E120" s="2">
        <f>SUMIF('03_LOTES'!B:B, F120, '03_LOTES'!E:E)</f>
        <v>0</v>
      </c>
      <c r="F120" s="2">
        <f>A120 &amp; " | " &amp; B120 &amp; " | " &amp; C120</f>
        <v>0</v>
      </c>
      <c r="G120" s="2" t="s">
        <v>377</v>
      </c>
      <c r="I120" s="2" t="s">
        <v>53</v>
      </c>
    </row>
    <row r="121" spans="1:9">
      <c r="A121" s="2" t="s">
        <v>378</v>
      </c>
      <c r="B121" s="2" t="s">
        <v>174</v>
      </c>
      <c r="C121" s="2" t="s">
        <v>96</v>
      </c>
      <c r="D121" s="2" t="s">
        <v>73</v>
      </c>
      <c r="E121" s="2">
        <f>SUMIF('03_LOTES'!B:B, F121, '03_LOTES'!E:E)</f>
        <v>0</v>
      </c>
      <c r="F121" s="2">
        <f>A121 &amp; " | " &amp; B121 &amp; " | " &amp; C121</f>
        <v>0</v>
      </c>
      <c r="G121" s="2" t="s">
        <v>379</v>
      </c>
      <c r="I121" s="2" t="s">
        <v>53</v>
      </c>
    </row>
    <row r="122" spans="1:9">
      <c r="A122" s="2" t="s">
        <v>380</v>
      </c>
      <c r="B122" s="2" t="s">
        <v>102</v>
      </c>
      <c r="C122" s="2" t="s">
        <v>351</v>
      </c>
      <c r="D122" s="2" t="s">
        <v>73</v>
      </c>
      <c r="E122" s="2">
        <f>SUMIF('03_LOTES'!B:B, F122, '03_LOTES'!E:E)</f>
        <v>0</v>
      </c>
      <c r="F122" s="2">
        <f>A122 &amp; " | " &amp; B122 &amp; " | " &amp; C122</f>
        <v>0</v>
      </c>
      <c r="G122" s="2" t="s">
        <v>381</v>
      </c>
      <c r="I122" s="2" t="s">
        <v>53</v>
      </c>
    </row>
    <row r="123" spans="1:9">
      <c r="A123" s="2" t="s">
        <v>380</v>
      </c>
      <c r="B123" s="2" t="s">
        <v>382</v>
      </c>
      <c r="C123" s="2" t="s">
        <v>105</v>
      </c>
      <c r="D123" s="2" t="s">
        <v>73</v>
      </c>
      <c r="E123" s="2">
        <f>SUMIF('03_LOTES'!B:B, F123, '03_LOTES'!E:E)</f>
        <v>0</v>
      </c>
      <c r="F123" s="2">
        <f>A123 &amp; " | " &amp; B123 &amp; " | " &amp; C123</f>
        <v>0</v>
      </c>
      <c r="G123" s="2" t="s">
        <v>383</v>
      </c>
      <c r="I123" s="2" t="s">
        <v>53</v>
      </c>
    </row>
    <row r="124" spans="1:9">
      <c r="A124" s="2" t="s">
        <v>384</v>
      </c>
      <c r="B124" s="2" t="s">
        <v>174</v>
      </c>
      <c r="C124" s="2" t="s">
        <v>96</v>
      </c>
      <c r="D124" s="2" t="s">
        <v>55</v>
      </c>
      <c r="E124" s="2">
        <f>SUMIF('03_LOTES'!B:B, F124, '03_LOTES'!E:E)</f>
        <v>0</v>
      </c>
      <c r="F124" s="2">
        <f>A124 &amp; " | " &amp; B124 &amp; " | " &amp; C124</f>
        <v>0</v>
      </c>
      <c r="G124" s="2" t="s">
        <v>385</v>
      </c>
      <c r="I124" s="2" t="s">
        <v>53</v>
      </c>
    </row>
    <row r="125" spans="1:9">
      <c r="A125" s="2" t="s">
        <v>386</v>
      </c>
      <c r="B125" s="2" t="s">
        <v>112</v>
      </c>
      <c r="C125" s="2" t="s">
        <v>219</v>
      </c>
      <c r="D125" s="2" t="s">
        <v>73</v>
      </c>
      <c r="E125" s="2">
        <f>SUMIF('03_LOTES'!B:B, F125, '03_LOTES'!E:E)</f>
        <v>0</v>
      </c>
      <c r="F125" s="2">
        <f>A125 &amp; " | " &amp; B125 &amp; " | " &amp; C125</f>
        <v>0</v>
      </c>
      <c r="G125" s="2" t="s">
        <v>387</v>
      </c>
      <c r="I125" s="2" t="s">
        <v>53</v>
      </c>
    </row>
    <row r="126" spans="1:9">
      <c r="A126" s="2" t="s">
        <v>386</v>
      </c>
      <c r="B126" s="2" t="s">
        <v>388</v>
      </c>
      <c r="C126" s="2" t="s">
        <v>105</v>
      </c>
      <c r="D126" s="2" t="s">
        <v>73</v>
      </c>
      <c r="E126" s="2">
        <f>SUMIF('03_LOTES'!B:B, F126, '03_LOTES'!E:E)</f>
        <v>0</v>
      </c>
      <c r="F126" s="2">
        <f>A126 &amp; " | " &amp; B126 &amp; " | " &amp; C126</f>
        <v>0</v>
      </c>
      <c r="G126" s="2" t="s">
        <v>389</v>
      </c>
      <c r="I126" s="2" t="s">
        <v>53</v>
      </c>
    </row>
    <row r="127" spans="1:9">
      <c r="A127" s="2" t="s">
        <v>390</v>
      </c>
      <c r="B127" s="2" t="s">
        <v>174</v>
      </c>
      <c r="C127" s="2" t="s">
        <v>96</v>
      </c>
      <c r="D127" s="2" t="s">
        <v>55</v>
      </c>
      <c r="E127" s="2">
        <f>SUMIF('03_LOTES'!B:B, F127, '03_LOTES'!E:E)</f>
        <v>0</v>
      </c>
      <c r="F127" s="2">
        <f>A127 &amp; " | " &amp; B127 &amp; " | " &amp; C127</f>
        <v>0</v>
      </c>
      <c r="G127" s="2" t="s">
        <v>391</v>
      </c>
      <c r="I127" s="2" t="s">
        <v>53</v>
      </c>
    </row>
    <row r="128" spans="1:9">
      <c r="A128" s="2" t="s">
        <v>392</v>
      </c>
      <c r="B128" s="2" t="s">
        <v>174</v>
      </c>
      <c r="C128" s="2" t="s">
        <v>96</v>
      </c>
      <c r="D128" s="2" t="s">
        <v>55</v>
      </c>
      <c r="E128" s="2">
        <f>SUMIF('03_LOTES'!B:B, F128, '03_LOTES'!E:E)</f>
        <v>0</v>
      </c>
      <c r="F128" s="2">
        <f>A128 &amp; " | " &amp; B128 &amp; " | " &amp; C128</f>
        <v>0</v>
      </c>
      <c r="G128" s="2" t="s">
        <v>393</v>
      </c>
      <c r="I128" s="2" t="s">
        <v>53</v>
      </c>
    </row>
    <row r="129" spans="1:9">
      <c r="A129" s="2" t="s">
        <v>394</v>
      </c>
      <c r="B129" s="2" t="s">
        <v>171</v>
      </c>
      <c r="C129" s="2" t="s">
        <v>219</v>
      </c>
      <c r="D129" s="2" t="s">
        <v>73</v>
      </c>
      <c r="E129" s="2">
        <f>SUMIF('03_LOTES'!B:B, F129, '03_LOTES'!E:E)</f>
        <v>0</v>
      </c>
      <c r="F129" s="2">
        <f>A129 &amp; " | " &amp; B129 &amp; " | " &amp; C129</f>
        <v>0</v>
      </c>
      <c r="G129" s="2" t="s">
        <v>395</v>
      </c>
      <c r="I129" s="2" t="s">
        <v>53</v>
      </c>
    </row>
    <row r="130" spans="1:9">
      <c r="A130" s="2" t="s">
        <v>394</v>
      </c>
      <c r="B130" s="2" t="s">
        <v>396</v>
      </c>
      <c r="C130" s="2" t="s">
        <v>397</v>
      </c>
      <c r="D130" s="2" t="s">
        <v>73</v>
      </c>
      <c r="E130" s="2">
        <f>SUMIF('03_LOTES'!B:B, F130, '03_LOTES'!E:E)</f>
        <v>0</v>
      </c>
      <c r="F130" s="2">
        <f>A130 &amp; " | " &amp; B130 &amp; " | " &amp; C130</f>
        <v>0</v>
      </c>
      <c r="G130" s="2" t="s">
        <v>398</v>
      </c>
      <c r="I130" s="2" t="s">
        <v>53</v>
      </c>
    </row>
    <row r="131" spans="1:9">
      <c r="A131" s="2" t="s">
        <v>399</v>
      </c>
      <c r="B131" s="2" t="s">
        <v>235</v>
      </c>
      <c r="C131" s="2" t="s">
        <v>96</v>
      </c>
      <c r="D131" s="2" t="s">
        <v>67</v>
      </c>
      <c r="E131" s="2">
        <f>SUMIF('03_LOTES'!B:B, F131, '03_LOTES'!E:E)</f>
        <v>0</v>
      </c>
      <c r="F131" s="2">
        <f>A131 &amp; " | " &amp; B131 &amp; " | " &amp; C131</f>
        <v>0</v>
      </c>
      <c r="G131" s="2" t="s">
        <v>400</v>
      </c>
      <c r="I131" s="2" t="s">
        <v>53</v>
      </c>
    </row>
    <row r="132" spans="1:9">
      <c r="A132" s="2" t="s">
        <v>401</v>
      </c>
      <c r="B132" s="2" t="s">
        <v>112</v>
      </c>
      <c r="C132" s="2" t="s">
        <v>96</v>
      </c>
      <c r="D132" s="2" t="s">
        <v>73</v>
      </c>
      <c r="E132" s="2">
        <f>SUMIF('03_LOTES'!B:B, F132, '03_LOTES'!E:E)</f>
        <v>0</v>
      </c>
      <c r="F132" s="2">
        <f>A132 &amp; " | " &amp; B132 &amp; " | " &amp; C132</f>
        <v>0</v>
      </c>
      <c r="G132" s="2" t="s">
        <v>402</v>
      </c>
      <c r="I132" s="2" t="s">
        <v>53</v>
      </c>
    </row>
    <row r="133" spans="1:9">
      <c r="A133" s="2" t="s">
        <v>401</v>
      </c>
      <c r="B133" s="2" t="s">
        <v>174</v>
      </c>
      <c r="C133" s="2" t="s">
        <v>96</v>
      </c>
      <c r="D133" s="2" t="s">
        <v>73</v>
      </c>
      <c r="E133" s="2">
        <f>SUMIF('03_LOTES'!B:B, F133, '03_LOTES'!E:E)</f>
        <v>0</v>
      </c>
      <c r="F133" s="2">
        <f>A133 &amp; " | " &amp; B133 &amp; " | " &amp; C133</f>
        <v>0</v>
      </c>
      <c r="G133" s="2" t="s">
        <v>403</v>
      </c>
      <c r="I133" s="2" t="s">
        <v>53</v>
      </c>
    </row>
    <row r="134" spans="1:9">
      <c r="A134" s="2" t="s">
        <v>401</v>
      </c>
      <c r="B134" s="2" t="s">
        <v>151</v>
      </c>
      <c r="C134" s="2" t="s">
        <v>77</v>
      </c>
      <c r="D134" s="2" t="s">
        <v>73</v>
      </c>
      <c r="E134" s="2">
        <f>SUMIF('03_LOTES'!B:B, F134, '03_LOTES'!E:E)</f>
        <v>0</v>
      </c>
      <c r="F134" s="2">
        <f>A134 &amp; " | " &amp; B134 &amp; " | " &amp; C134</f>
        <v>0</v>
      </c>
      <c r="G134" s="2" t="s">
        <v>404</v>
      </c>
      <c r="I134" s="2" t="s">
        <v>53</v>
      </c>
    </row>
    <row r="135" spans="1:9">
      <c r="A135" s="2" t="s">
        <v>405</v>
      </c>
      <c r="B135" s="2" t="s">
        <v>80</v>
      </c>
      <c r="C135" s="2" t="s">
        <v>83</v>
      </c>
      <c r="D135" s="2" t="s">
        <v>73</v>
      </c>
      <c r="E135" s="2">
        <f>SUMIF('03_LOTES'!B:B, F135, '03_LOTES'!E:E)</f>
        <v>0</v>
      </c>
      <c r="F135" s="2">
        <f>A135 &amp; " | " &amp; B135 &amp; " | " &amp; C135</f>
        <v>0</v>
      </c>
      <c r="G135" s="2" t="s">
        <v>406</v>
      </c>
      <c r="I135" s="2" t="s">
        <v>53</v>
      </c>
    </row>
    <row r="136" spans="1:9">
      <c r="A136" s="2" t="s">
        <v>407</v>
      </c>
      <c r="B136" s="2" t="s">
        <v>408</v>
      </c>
      <c r="C136" s="2" t="s">
        <v>409</v>
      </c>
      <c r="D136" s="2" t="s">
        <v>73</v>
      </c>
      <c r="E136" s="2">
        <f>SUMIF('03_LOTES'!B:B, F136, '03_LOTES'!E:E)</f>
        <v>0</v>
      </c>
      <c r="F136" s="2">
        <f>A136 &amp; " | " &amp; B136 &amp; " | " &amp; C136</f>
        <v>0</v>
      </c>
      <c r="G136" s="2" t="s">
        <v>410</v>
      </c>
      <c r="I136" s="2" t="s">
        <v>53</v>
      </c>
    </row>
    <row r="137" spans="1:9">
      <c r="A137" s="2" t="s">
        <v>407</v>
      </c>
      <c r="B137" s="2" t="s">
        <v>225</v>
      </c>
      <c r="C137" s="2" t="s">
        <v>411</v>
      </c>
      <c r="D137" s="2" t="s">
        <v>73</v>
      </c>
      <c r="E137" s="2">
        <f>SUMIF('03_LOTES'!B:B, F137, '03_LOTES'!E:E)</f>
        <v>0</v>
      </c>
      <c r="F137" s="2">
        <f>A137 &amp; " | " &amp; B137 &amp; " | " &amp; C137</f>
        <v>0</v>
      </c>
      <c r="G137" s="2" t="s">
        <v>412</v>
      </c>
      <c r="I137" s="2" t="s">
        <v>53</v>
      </c>
    </row>
    <row r="138" spans="1:9">
      <c r="A138" s="2" t="s">
        <v>407</v>
      </c>
      <c r="B138" s="2" t="s">
        <v>168</v>
      </c>
      <c r="C138" s="2" t="s">
        <v>411</v>
      </c>
      <c r="D138" s="2" t="s">
        <v>73</v>
      </c>
      <c r="E138" s="2">
        <f>SUMIF('03_LOTES'!B:B, F138, '03_LOTES'!E:E)</f>
        <v>0</v>
      </c>
      <c r="F138" s="2">
        <f>A138 &amp; " | " &amp; B138 &amp; " | " &amp; C138</f>
        <v>0</v>
      </c>
      <c r="G138" s="2" t="s">
        <v>413</v>
      </c>
      <c r="I138" s="2" t="s">
        <v>53</v>
      </c>
    </row>
    <row r="139" spans="1:9">
      <c r="A139" s="2" t="s">
        <v>407</v>
      </c>
      <c r="B139" s="2" t="s">
        <v>151</v>
      </c>
      <c r="C139" s="2" t="s">
        <v>411</v>
      </c>
      <c r="D139" s="2" t="s">
        <v>73</v>
      </c>
      <c r="E139" s="2">
        <f>SUMIF('03_LOTES'!B:B, F139, '03_LOTES'!E:E)</f>
        <v>0</v>
      </c>
      <c r="F139" s="2">
        <f>A139 &amp; " | " &amp; B139 &amp; " | " &amp; C139</f>
        <v>0</v>
      </c>
      <c r="G139" s="2" t="s">
        <v>414</v>
      </c>
      <c r="I139" s="2" t="s">
        <v>53</v>
      </c>
    </row>
    <row r="140" spans="1:9">
      <c r="A140" s="2" t="s">
        <v>407</v>
      </c>
      <c r="B140" s="2" t="s">
        <v>290</v>
      </c>
      <c r="C140" s="2" t="s">
        <v>238</v>
      </c>
      <c r="D140" s="2" t="s">
        <v>73</v>
      </c>
      <c r="E140" s="2">
        <f>SUMIF('03_LOTES'!B:B, F140, '03_LOTES'!E:E)</f>
        <v>0</v>
      </c>
      <c r="F140" s="2">
        <f>A140 &amp; " | " &amp; B140 &amp; " | " &amp; C140</f>
        <v>0</v>
      </c>
      <c r="G140" s="2" t="s">
        <v>415</v>
      </c>
      <c r="I140" s="2" t="s">
        <v>53</v>
      </c>
    </row>
    <row r="141" spans="1:9">
      <c r="A141" s="2" t="s">
        <v>416</v>
      </c>
      <c r="B141" s="2" t="s">
        <v>112</v>
      </c>
      <c r="C141" s="2" t="s">
        <v>77</v>
      </c>
      <c r="D141" s="2" t="s">
        <v>55</v>
      </c>
      <c r="E141" s="2">
        <f>SUMIF('03_LOTES'!B:B, F141, '03_LOTES'!E:E)</f>
        <v>0</v>
      </c>
      <c r="F141" s="2">
        <f>A141 &amp; " | " &amp; B141 &amp; " | " &amp; C141</f>
        <v>0</v>
      </c>
      <c r="G141" s="2" t="s">
        <v>417</v>
      </c>
      <c r="I141" s="2" t="s">
        <v>53</v>
      </c>
    </row>
    <row r="142" spans="1:9">
      <c r="A142" s="2" t="s">
        <v>416</v>
      </c>
      <c r="B142" s="2" t="s">
        <v>107</v>
      </c>
      <c r="C142" s="2" t="s">
        <v>96</v>
      </c>
      <c r="D142" s="2" t="s">
        <v>55</v>
      </c>
      <c r="E142" s="2">
        <f>SUMIF('03_LOTES'!B:B, F142, '03_LOTES'!E:E)</f>
        <v>0</v>
      </c>
      <c r="F142" s="2">
        <f>A142 &amp; " | " &amp; B142 &amp; " | " &amp; C142</f>
        <v>0</v>
      </c>
      <c r="G142" s="2" t="s">
        <v>418</v>
      </c>
      <c r="I142" s="2" t="s">
        <v>53</v>
      </c>
    </row>
    <row r="143" spans="1:9">
      <c r="A143" s="2" t="s">
        <v>416</v>
      </c>
      <c r="B143" s="2" t="s">
        <v>80</v>
      </c>
      <c r="C143" s="2" t="s">
        <v>77</v>
      </c>
      <c r="D143" s="2" t="s">
        <v>55</v>
      </c>
      <c r="E143" s="2">
        <f>SUMIF('03_LOTES'!B:B, F143, '03_LOTES'!E:E)</f>
        <v>0</v>
      </c>
      <c r="F143" s="2">
        <f>A143 &amp; " | " &amp; B143 &amp; " | " &amp; C143</f>
        <v>0</v>
      </c>
      <c r="G143" s="2" t="s">
        <v>419</v>
      </c>
      <c r="I143" s="2" t="s">
        <v>53</v>
      </c>
    </row>
    <row r="144" spans="1:9">
      <c r="A144" s="2" t="s">
        <v>416</v>
      </c>
      <c r="B144" s="2" t="s">
        <v>420</v>
      </c>
      <c r="C144" s="2" t="s">
        <v>238</v>
      </c>
      <c r="D144" s="2" t="s">
        <v>55</v>
      </c>
      <c r="E144" s="2">
        <f>SUMIF('03_LOTES'!B:B, F144, '03_LOTES'!E:E)</f>
        <v>0</v>
      </c>
      <c r="F144" s="2">
        <f>A144 &amp; " | " &amp; B144 &amp; " | " &amp; C144</f>
        <v>0</v>
      </c>
      <c r="G144" s="2" t="s">
        <v>421</v>
      </c>
      <c r="I144" s="2" t="s">
        <v>53</v>
      </c>
    </row>
    <row r="145" spans="1:9">
      <c r="A145" s="2" t="s">
        <v>422</v>
      </c>
      <c r="B145" s="2" t="s">
        <v>151</v>
      </c>
      <c r="C145" s="2" t="s">
        <v>77</v>
      </c>
      <c r="D145" s="2" t="s">
        <v>55</v>
      </c>
      <c r="E145" s="2">
        <f>SUMIF('03_LOTES'!B:B, F145, '03_LOTES'!E:E)</f>
        <v>0</v>
      </c>
      <c r="F145" s="2">
        <f>A145 &amp; " | " &amp; B145 &amp; " | " &amp; C145</f>
        <v>0</v>
      </c>
      <c r="G145" s="2" t="s">
        <v>423</v>
      </c>
      <c r="I145" s="2" t="s">
        <v>53</v>
      </c>
    </row>
    <row r="146" spans="1:9">
      <c r="A146" s="2" t="s">
        <v>424</v>
      </c>
      <c r="B146" s="2" t="s">
        <v>425</v>
      </c>
      <c r="C146" s="2" t="s">
        <v>77</v>
      </c>
      <c r="D146" s="2" t="s">
        <v>55</v>
      </c>
      <c r="E146" s="2">
        <f>SUMIF('03_LOTES'!B:B, F146, '03_LOTES'!E:E)</f>
        <v>0</v>
      </c>
      <c r="F146" s="2">
        <f>A146 &amp; " | " &amp; B146 &amp; " | " &amp; C146</f>
        <v>0</v>
      </c>
      <c r="G146" s="2" t="s">
        <v>426</v>
      </c>
      <c r="I146" s="2" t="s">
        <v>53</v>
      </c>
    </row>
    <row r="147" spans="1:9">
      <c r="A147" s="2" t="s">
        <v>424</v>
      </c>
      <c r="B147" s="2" t="s">
        <v>427</v>
      </c>
      <c r="C147" s="2" t="s">
        <v>77</v>
      </c>
      <c r="D147" s="2" t="s">
        <v>55</v>
      </c>
      <c r="E147" s="2">
        <f>SUMIF('03_LOTES'!B:B, F147, '03_LOTES'!E:E)</f>
        <v>0</v>
      </c>
      <c r="F147" s="2">
        <f>A147 &amp; " | " &amp; B147 &amp; " | " &amp; C147</f>
        <v>0</v>
      </c>
      <c r="G147" s="2" t="s">
        <v>428</v>
      </c>
      <c r="I147" s="2" t="s">
        <v>53</v>
      </c>
    </row>
    <row r="148" spans="1:9">
      <c r="A148" s="2" t="s">
        <v>429</v>
      </c>
      <c r="B148" s="2" t="s">
        <v>171</v>
      </c>
      <c r="C148" s="2" t="s">
        <v>96</v>
      </c>
      <c r="D148" s="2" t="s">
        <v>73</v>
      </c>
      <c r="E148" s="2">
        <f>SUMIF('03_LOTES'!B:B, F148, '03_LOTES'!E:E)</f>
        <v>0</v>
      </c>
      <c r="F148" s="2">
        <f>A148 &amp; " | " &amp; B148 &amp; " | " &amp; C148</f>
        <v>0</v>
      </c>
      <c r="G148" s="2" t="s">
        <v>430</v>
      </c>
      <c r="I148" s="2" t="s">
        <v>53</v>
      </c>
    </row>
    <row r="149" spans="1:9">
      <c r="A149" s="2" t="s">
        <v>429</v>
      </c>
      <c r="B149" s="2" t="s">
        <v>151</v>
      </c>
      <c r="C149" s="2" t="s">
        <v>96</v>
      </c>
      <c r="D149" s="2" t="s">
        <v>73</v>
      </c>
      <c r="E149" s="2">
        <f>SUMIF('03_LOTES'!B:B, F149, '03_LOTES'!E:E)</f>
        <v>0</v>
      </c>
      <c r="F149" s="2">
        <f>A149 &amp; " | " &amp; B149 &amp; " | " &amp; C149</f>
        <v>0</v>
      </c>
      <c r="G149" s="2" t="s">
        <v>431</v>
      </c>
      <c r="I149" s="2" t="s">
        <v>53</v>
      </c>
    </row>
    <row r="150" spans="1:9">
      <c r="A150" s="2" t="s">
        <v>432</v>
      </c>
      <c r="B150" s="2" t="s">
        <v>225</v>
      </c>
      <c r="C150" s="2" t="s">
        <v>96</v>
      </c>
      <c r="D150" s="2" t="s">
        <v>73</v>
      </c>
      <c r="E150" s="2">
        <f>SUMIF('03_LOTES'!B:B, F150, '03_LOTES'!E:E)</f>
        <v>0</v>
      </c>
      <c r="F150" s="2">
        <f>A150 &amp; " | " &amp; B150 &amp; " | " &amp; C150</f>
        <v>0</v>
      </c>
      <c r="G150" s="2" t="s">
        <v>433</v>
      </c>
      <c r="I150" s="2" t="s">
        <v>53</v>
      </c>
    </row>
    <row r="151" spans="1:9">
      <c r="A151" s="2" t="s">
        <v>432</v>
      </c>
      <c r="B151" s="2" t="s">
        <v>112</v>
      </c>
      <c r="C151" s="2" t="s">
        <v>96</v>
      </c>
      <c r="D151" s="2" t="s">
        <v>73</v>
      </c>
      <c r="E151" s="2">
        <f>SUMIF('03_LOTES'!B:B, F151, '03_LOTES'!E:E)</f>
        <v>0</v>
      </c>
      <c r="F151" s="2">
        <f>A151 &amp; " | " &amp; B151 &amp; " | " &amp; C151</f>
        <v>0</v>
      </c>
      <c r="G151" s="2" t="s">
        <v>434</v>
      </c>
      <c r="I151" s="2" t="s">
        <v>53</v>
      </c>
    </row>
    <row r="152" spans="1:9">
      <c r="A152" s="2" t="s">
        <v>435</v>
      </c>
      <c r="B152" s="2" t="s">
        <v>112</v>
      </c>
      <c r="C152" s="2" t="s">
        <v>77</v>
      </c>
      <c r="D152" s="2" t="s">
        <v>73</v>
      </c>
      <c r="E152" s="2">
        <f>SUMIF('03_LOTES'!B:B, F152, '03_LOTES'!E:E)</f>
        <v>0</v>
      </c>
      <c r="F152" s="2">
        <f>A152 &amp; " | " &amp; B152 &amp; " | " &amp; C152</f>
        <v>0</v>
      </c>
      <c r="G152" s="2" t="s">
        <v>436</v>
      </c>
      <c r="I152" s="2" t="s">
        <v>53</v>
      </c>
    </row>
    <row r="153" spans="1:9">
      <c r="A153" s="2" t="s">
        <v>435</v>
      </c>
      <c r="B153" s="2" t="s">
        <v>388</v>
      </c>
      <c r="C153" s="2" t="s">
        <v>105</v>
      </c>
      <c r="D153" s="2" t="s">
        <v>73</v>
      </c>
      <c r="E153" s="2">
        <f>SUMIF('03_LOTES'!B:B, F153, '03_LOTES'!E:E)</f>
        <v>0</v>
      </c>
      <c r="F153" s="2">
        <f>A153 &amp; " | " &amp; B153 &amp; " | " &amp; C153</f>
        <v>0</v>
      </c>
      <c r="G153" s="2" t="s">
        <v>437</v>
      </c>
      <c r="I153" s="2" t="s">
        <v>53</v>
      </c>
    </row>
    <row r="154" spans="1:9">
      <c r="A154" s="2" t="s">
        <v>438</v>
      </c>
      <c r="B154" s="2" t="s">
        <v>439</v>
      </c>
      <c r="C154" s="2" t="s">
        <v>360</v>
      </c>
      <c r="D154" s="2" t="s">
        <v>55</v>
      </c>
      <c r="E154" s="2">
        <f>SUMIF('03_LOTES'!B:B, F154, '03_LOTES'!E:E)</f>
        <v>0</v>
      </c>
      <c r="F154" s="2">
        <f>A154 &amp; " | " &amp; B154 &amp; " | " &amp; C154</f>
        <v>0</v>
      </c>
      <c r="G154" s="2" t="s">
        <v>440</v>
      </c>
      <c r="I154" s="2" t="s">
        <v>53</v>
      </c>
    </row>
    <row r="155" spans="1:9">
      <c r="A155" s="2" t="s">
        <v>438</v>
      </c>
      <c r="B155" s="2" t="s">
        <v>76</v>
      </c>
      <c r="C155" s="2" t="s">
        <v>219</v>
      </c>
      <c r="D155" s="2" t="s">
        <v>55</v>
      </c>
      <c r="E155" s="2">
        <f>SUMIF('03_LOTES'!B:B, F155, '03_LOTES'!E:E)</f>
        <v>0</v>
      </c>
      <c r="F155" s="2">
        <f>A155 &amp; " | " &amp; B155 &amp; " | " &amp; C155</f>
        <v>0</v>
      </c>
      <c r="G155" s="2" t="s">
        <v>441</v>
      </c>
      <c r="I155" s="2" t="s">
        <v>53</v>
      </c>
    </row>
    <row r="156" spans="1:9">
      <c r="A156" s="2" t="s">
        <v>438</v>
      </c>
      <c r="B156" s="2" t="s">
        <v>442</v>
      </c>
      <c r="C156" s="2" t="s">
        <v>96</v>
      </c>
      <c r="D156" s="2" t="s">
        <v>55</v>
      </c>
      <c r="E156" s="2">
        <f>SUMIF('03_LOTES'!B:B, F156, '03_LOTES'!E:E)</f>
        <v>0</v>
      </c>
      <c r="F156" s="2">
        <f>A156 &amp; " | " &amp; B156 &amp; " | " &amp; C156</f>
        <v>0</v>
      </c>
      <c r="G156" s="2" t="s">
        <v>443</v>
      </c>
      <c r="I156" s="2" t="s">
        <v>53</v>
      </c>
    </row>
    <row r="157" spans="1:9">
      <c r="A157" s="2" t="s">
        <v>444</v>
      </c>
      <c r="B157" s="2" t="s">
        <v>445</v>
      </c>
      <c r="C157" s="2" t="s">
        <v>249</v>
      </c>
      <c r="D157" s="2" t="s">
        <v>73</v>
      </c>
      <c r="E157" s="2">
        <f>SUMIF('03_LOTES'!B:B, F157, '03_LOTES'!E:E)</f>
        <v>0</v>
      </c>
      <c r="F157" s="2">
        <f>A157 &amp; " | " &amp; B157 &amp; " | " &amp; C157</f>
        <v>0</v>
      </c>
      <c r="G157" s="2" t="s">
        <v>446</v>
      </c>
      <c r="I157" s="2" t="s">
        <v>53</v>
      </c>
    </row>
    <row r="158" spans="1:9">
      <c r="A158" s="2" t="s">
        <v>444</v>
      </c>
      <c r="B158" s="2" t="s">
        <v>445</v>
      </c>
      <c r="C158" s="2" t="s">
        <v>447</v>
      </c>
      <c r="D158" s="2" t="s">
        <v>73</v>
      </c>
      <c r="E158" s="2">
        <f>SUMIF('03_LOTES'!B:B, F158, '03_LOTES'!E:E)</f>
        <v>0</v>
      </c>
      <c r="F158" s="2">
        <f>A158 &amp; " | " &amp; B158 &amp; " | " &amp; C158</f>
        <v>0</v>
      </c>
      <c r="G158" s="2" t="s">
        <v>448</v>
      </c>
      <c r="I158" s="2" t="s">
        <v>53</v>
      </c>
    </row>
    <row r="159" spans="1:9">
      <c r="A159" s="2" t="s">
        <v>449</v>
      </c>
      <c r="B159" s="2" t="s">
        <v>151</v>
      </c>
      <c r="C159" s="2" t="s">
        <v>83</v>
      </c>
      <c r="D159" s="2" t="s">
        <v>73</v>
      </c>
      <c r="E159" s="2">
        <f>SUMIF('03_LOTES'!B:B, F159, '03_LOTES'!E:E)</f>
        <v>0</v>
      </c>
      <c r="F159" s="2">
        <f>A159 &amp; " | " &amp; B159 &amp; " | " &amp; C159</f>
        <v>0</v>
      </c>
      <c r="G159" s="2" t="s">
        <v>450</v>
      </c>
      <c r="I159" s="2" t="s">
        <v>53</v>
      </c>
    </row>
    <row r="160" spans="1:9">
      <c r="A160" s="2" t="s">
        <v>449</v>
      </c>
      <c r="B160" s="2" t="s">
        <v>225</v>
      </c>
      <c r="C160" s="2" t="s">
        <v>83</v>
      </c>
      <c r="D160" s="2" t="s">
        <v>73</v>
      </c>
      <c r="E160" s="2">
        <f>SUMIF('03_LOTES'!B:B, F160, '03_LOTES'!E:E)</f>
        <v>0</v>
      </c>
      <c r="F160" s="2">
        <f>A160 &amp; " | " &amp; B160 &amp; " | " &amp; C160</f>
        <v>0</v>
      </c>
      <c r="G160" s="2" t="s">
        <v>451</v>
      </c>
      <c r="I160" s="2" t="s">
        <v>53</v>
      </c>
    </row>
    <row r="161" spans="1:9">
      <c r="A161" s="2" t="s">
        <v>452</v>
      </c>
      <c r="B161" s="2" t="s">
        <v>151</v>
      </c>
      <c r="C161" s="2" t="s">
        <v>77</v>
      </c>
      <c r="D161" s="2" t="s">
        <v>73</v>
      </c>
      <c r="E161" s="2">
        <f>SUMIF('03_LOTES'!B:B, F161, '03_LOTES'!E:E)</f>
        <v>0</v>
      </c>
      <c r="F161" s="2">
        <f>A161 &amp; " | " &amp; B161 &amp; " | " &amp; C161</f>
        <v>0</v>
      </c>
      <c r="G161" s="2" t="s">
        <v>453</v>
      </c>
      <c r="I161" s="2" t="s">
        <v>53</v>
      </c>
    </row>
    <row r="162" spans="1:9">
      <c r="A162" s="2" t="s">
        <v>454</v>
      </c>
      <c r="B162" s="2" t="s">
        <v>455</v>
      </c>
      <c r="C162" s="2" t="s">
        <v>77</v>
      </c>
      <c r="D162" s="2" t="s">
        <v>73</v>
      </c>
      <c r="E162" s="2">
        <f>SUMIF('03_LOTES'!B:B, F162, '03_LOTES'!E:E)</f>
        <v>0</v>
      </c>
      <c r="F162" s="2">
        <f>A162 &amp; " | " &amp; B162 &amp; " | " &amp; C162</f>
        <v>0</v>
      </c>
      <c r="G162" s="2" t="s">
        <v>456</v>
      </c>
      <c r="I162" s="2" t="s">
        <v>53</v>
      </c>
    </row>
    <row r="163" spans="1:9">
      <c r="A163" s="2" t="s">
        <v>457</v>
      </c>
      <c r="B163" s="2" t="s">
        <v>458</v>
      </c>
      <c r="C163" s="2" t="s">
        <v>96</v>
      </c>
      <c r="D163" s="2" t="s">
        <v>73</v>
      </c>
      <c r="E163" s="2">
        <f>SUMIF('03_LOTES'!B:B, F163, '03_LOTES'!E:E)</f>
        <v>0</v>
      </c>
      <c r="F163" s="2">
        <f>A163 &amp; " | " &amp; B163 &amp; " | " &amp; C163</f>
        <v>0</v>
      </c>
      <c r="G163" s="2" t="s">
        <v>459</v>
      </c>
      <c r="I163" s="2" t="s">
        <v>53</v>
      </c>
    </row>
    <row r="164" spans="1:9">
      <c r="A164" s="2" t="s">
        <v>460</v>
      </c>
      <c r="B164" s="2" t="s">
        <v>335</v>
      </c>
      <c r="C164" s="2" t="s">
        <v>148</v>
      </c>
      <c r="D164" s="2" t="s">
        <v>73</v>
      </c>
      <c r="E164" s="2">
        <f>SUMIF('03_LOTES'!B:B, F164, '03_LOTES'!E:E)</f>
        <v>0</v>
      </c>
      <c r="F164" s="2">
        <f>A164 &amp; " | " &amp; B164 &amp; " | " &amp; C164</f>
        <v>0</v>
      </c>
      <c r="G164" s="2" t="s">
        <v>461</v>
      </c>
      <c r="I164" s="2" t="s">
        <v>53</v>
      </c>
    </row>
    <row r="165" spans="1:9">
      <c r="A165" s="2" t="s">
        <v>460</v>
      </c>
      <c r="B165" s="2" t="s">
        <v>462</v>
      </c>
      <c r="C165" s="2" t="s">
        <v>409</v>
      </c>
      <c r="D165" s="2" t="s">
        <v>73</v>
      </c>
      <c r="E165" s="2">
        <f>SUMIF('03_LOTES'!B:B, F165, '03_LOTES'!E:E)</f>
        <v>0</v>
      </c>
      <c r="F165" s="2">
        <f>A165 &amp; " | " &amp; B165 &amp; " | " &amp; C165</f>
        <v>0</v>
      </c>
      <c r="G165" s="2" t="s">
        <v>463</v>
      </c>
      <c r="I165" s="2" t="s">
        <v>53</v>
      </c>
    </row>
    <row r="166" spans="1:9">
      <c r="A166" s="2" t="s">
        <v>464</v>
      </c>
      <c r="B166" s="2" t="s">
        <v>455</v>
      </c>
      <c r="C166" s="2" t="s">
        <v>77</v>
      </c>
      <c r="D166" s="2" t="s">
        <v>73</v>
      </c>
      <c r="E166" s="2">
        <f>SUMIF('03_LOTES'!B:B, F166, '03_LOTES'!E:E)</f>
        <v>0</v>
      </c>
      <c r="F166" s="2">
        <f>A166 &amp; " | " &amp; B166 &amp; " | " &amp; C166</f>
        <v>0</v>
      </c>
      <c r="G166" s="2" t="s">
        <v>465</v>
      </c>
      <c r="I166" s="2" t="s">
        <v>53</v>
      </c>
    </row>
    <row r="167" spans="1:9">
      <c r="A167" s="2" t="s">
        <v>466</v>
      </c>
      <c r="B167" s="2" t="s">
        <v>112</v>
      </c>
      <c r="C167" s="2" t="s">
        <v>83</v>
      </c>
      <c r="D167" s="2" t="s">
        <v>55</v>
      </c>
      <c r="E167" s="2">
        <f>SUMIF('03_LOTES'!B:B, F167, '03_LOTES'!E:E)</f>
        <v>0</v>
      </c>
      <c r="F167" s="2">
        <f>A167 &amp; " | " &amp; B167 &amp; " | " &amp; C167</f>
        <v>0</v>
      </c>
      <c r="G167" s="2" t="s">
        <v>467</v>
      </c>
      <c r="I167" s="2" t="s">
        <v>53</v>
      </c>
    </row>
    <row r="168" spans="1:9">
      <c r="A168" s="2" t="s">
        <v>466</v>
      </c>
      <c r="B168" s="2" t="s">
        <v>327</v>
      </c>
      <c r="C168" s="2" t="s">
        <v>238</v>
      </c>
      <c r="D168" s="2" t="s">
        <v>55</v>
      </c>
      <c r="E168" s="2">
        <f>SUMIF('03_LOTES'!B:B, F168, '03_LOTES'!E:E)</f>
        <v>0</v>
      </c>
      <c r="F168" s="2">
        <f>A168 &amp; " | " &amp; B168 &amp; " | " &amp; C168</f>
        <v>0</v>
      </c>
      <c r="G168" s="2" t="s">
        <v>468</v>
      </c>
      <c r="I168" s="2" t="s">
        <v>53</v>
      </c>
    </row>
    <row r="169" spans="1:9">
      <c r="A169" s="2" t="s">
        <v>466</v>
      </c>
      <c r="B169" s="2" t="s">
        <v>237</v>
      </c>
      <c r="C169" s="2" t="s">
        <v>469</v>
      </c>
      <c r="D169" s="2" t="s">
        <v>55</v>
      </c>
      <c r="E169" s="2">
        <f>SUMIF('03_LOTES'!B:B, F169, '03_LOTES'!E:E)</f>
        <v>0</v>
      </c>
      <c r="F169" s="2">
        <f>A169 &amp; " | " &amp; B169 &amp; " | " &amp; C169</f>
        <v>0</v>
      </c>
      <c r="G169" s="2" t="s">
        <v>470</v>
      </c>
      <c r="I169" s="2" t="s">
        <v>53</v>
      </c>
    </row>
    <row r="170" spans="1:9">
      <c r="A170" s="2" t="s">
        <v>471</v>
      </c>
      <c r="B170" s="2" t="s">
        <v>174</v>
      </c>
      <c r="C170" s="2" t="s">
        <v>96</v>
      </c>
      <c r="D170" s="2" t="s">
        <v>55</v>
      </c>
      <c r="E170" s="2">
        <f>SUMIF('03_LOTES'!B:B, F170, '03_LOTES'!E:E)</f>
        <v>0</v>
      </c>
      <c r="F170" s="2">
        <f>A170 &amp; " | " &amp; B170 &amp; " | " &amp; C170</f>
        <v>0</v>
      </c>
      <c r="G170" s="2" t="s">
        <v>472</v>
      </c>
      <c r="I170" s="2" t="s">
        <v>53</v>
      </c>
    </row>
    <row r="171" spans="1:9">
      <c r="A171" s="2" t="s">
        <v>473</v>
      </c>
      <c r="B171" s="2" t="s">
        <v>287</v>
      </c>
      <c r="C171" s="2" t="s">
        <v>77</v>
      </c>
      <c r="D171" s="2" t="s">
        <v>73</v>
      </c>
      <c r="E171" s="2">
        <f>SUMIF('03_LOTES'!B:B, F171, '03_LOTES'!E:E)</f>
        <v>0</v>
      </c>
      <c r="F171" s="2">
        <f>A171 &amp; " | " &amp; B171 &amp; " | " &amp; C171</f>
        <v>0</v>
      </c>
      <c r="G171" s="2" t="s">
        <v>474</v>
      </c>
      <c r="I171" s="2" t="s">
        <v>53</v>
      </c>
    </row>
    <row r="172" spans="1:9">
      <c r="A172" s="2" t="s">
        <v>473</v>
      </c>
      <c r="B172" s="2" t="s">
        <v>475</v>
      </c>
      <c r="C172" s="2" t="s">
        <v>397</v>
      </c>
      <c r="D172" s="2" t="s">
        <v>73</v>
      </c>
      <c r="E172" s="2">
        <f>SUMIF('03_LOTES'!B:B, F172, '03_LOTES'!E:E)</f>
        <v>0</v>
      </c>
      <c r="F172" s="2">
        <f>A172 &amp; " | " &amp; B172 &amp; " | " &amp; C172</f>
        <v>0</v>
      </c>
      <c r="G172" s="2" t="s">
        <v>476</v>
      </c>
      <c r="I172" s="2" t="s">
        <v>53</v>
      </c>
    </row>
    <row r="173" spans="1:9">
      <c r="A173" s="2" t="s">
        <v>473</v>
      </c>
      <c r="B173" s="2" t="s">
        <v>232</v>
      </c>
      <c r="C173" s="2" t="s">
        <v>96</v>
      </c>
      <c r="D173" s="2" t="s">
        <v>73</v>
      </c>
      <c r="E173" s="2">
        <f>SUMIF('03_LOTES'!B:B, F173, '03_LOTES'!E:E)</f>
        <v>0</v>
      </c>
      <c r="F173" s="2">
        <f>A173 &amp; " | " &amp; B173 &amp; " | " &amp; C173</f>
        <v>0</v>
      </c>
      <c r="G173" s="2" t="s">
        <v>477</v>
      </c>
      <c r="I173" s="2" t="s">
        <v>53</v>
      </c>
    </row>
    <row r="174" spans="1:9">
      <c r="A174" s="2" t="s">
        <v>478</v>
      </c>
      <c r="B174" s="2" t="s">
        <v>90</v>
      </c>
      <c r="C174" s="2" t="s">
        <v>447</v>
      </c>
      <c r="D174" s="2" t="s">
        <v>73</v>
      </c>
      <c r="E174" s="2">
        <f>SUMIF('03_LOTES'!B:B, F174, '03_LOTES'!E:E)</f>
        <v>0</v>
      </c>
      <c r="F174" s="2">
        <f>A174 &amp; " | " &amp; B174 &amp; " | " &amp; C174</f>
        <v>0</v>
      </c>
      <c r="G174" s="2" t="s">
        <v>479</v>
      </c>
      <c r="I174" s="2" t="s">
        <v>53</v>
      </c>
    </row>
    <row r="175" spans="1:9">
      <c r="A175" s="2" t="s">
        <v>480</v>
      </c>
      <c r="B175" s="2" t="s">
        <v>481</v>
      </c>
      <c r="C175" s="2" t="s">
        <v>77</v>
      </c>
      <c r="D175" s="2" t="s">
        <v>73</v>
      </c>
      <c r="E175" s="2">
        <f>SUMIF('03_LOTES'!B:B, F175, '03_LOTES'!E:E)</f>
        <v>0</v>
      </c>
      <c r="F175" s="2">
        <f>A175 &amp; " | " &amp; B175 &amp; " | " &amp; C175</f>
        <v>0</v>
      </c>
      <c r="G175" s="2" t="s">
        <v>482</v>
      </c>
      <c r="I175" s="2" t="s">
        <v>53</v>
      </c>
    </row>
    <row r="176" spans="1:9">
      <c r="A176" s="2" t="s">
        <v>483</v>
      </c>
      <c r="B176" s="2" t="s">
        <v>225</v>
      </c>
      <c r="C176" s="2" t="s">
        <v>77</v>
      </c>
      <c r="D176" s="2" t="s">
        <v>73</v>
      </c>
      <c r="E176" s="2">
        <f>SUMIF('03_LOTES'!B:B, F176, '03_LOTES'!E:E)</f>
        <v>0</v>
      </c>
      <c r="F176" s="2">
        <f>A176 &amp; " | " &amp; B176 &amp; " | " &amp; C176</f>
        <v>0</v>
      </c>
      <c r="G176" s="2" t="s">
        <v>484</v>
      </c>
      <c r="I176" s="2" t="s">
        <v>53</v>
      </c>
    </row>
    <row r="177" spans="1:9">
      <c r="A177" s="2" t="s">
        <v>483</v>
      </c>
      <c r="B177" s="2" t="s">
        <v>485</v>
      </c>
      <c r="C177" s="2" t="s">
        <v>96</v>
      </c>
      <c r="D177" s="2" t="s">
        <v>73</v>
      </c>
      <c r="E177" s="2">
        <f>SUMIF('03_LOTES'!B:B, F177, '03_LOTES'!E:E)</f>
        <v>0</v>
      </c>
      <c r="F177" s="2">
        <f>A177 &amp; " | " &amp; B177 &amp; " | " &amp; C177</f>
        <v>0</v>
      </c>
      <c r="G177" s="2" t="s">
        <v>486</v>
      </c>
      <c r="I177" s="2" t="s">
        <v>53</v>
      </c>
    </row>
    <row r="178" spans="1:9">
      <c r="A178" s="2" t="s">
        <v>487</v>
      </c>
      <c r="B178" s="2" t="s">
        <v>488</v>
      </c>
      <c r="C178" s="2" t="s">
        <v>409</v>
      </c>
      <c r="D178" s="2" t="s">
        <v>73</v>
      </c>
      <c r="E178" s="2">
        <f>SUMIF('03_LOTES'!B:B, F178, '03_LOTES'!E:E)</f>
        <v>0</v>
      </c>
      <c r="F178" s="2">
        <f>A178 &amp; " | " &amp; B178 &amp; " | " &amp; C178</f>
        <v>0</v>
      </c>
      <c r="G178" s="2" t="s">
        <v>489</v>
      </c>
      <c r="I178" s="2" t="s">
        <v>53</v>
      </c>
    </row>
    <row r="179" spans="1:9">
      <c r="A179" s="2" t="s">
        <v>487</v>
      </c>
      <c r="B179" s="2" t="s">
        <v>134</v>
      </c>
      <c r="C179" s="2" t="s">
        <v>96</v>
      </c>
      <c r="D179" s="2" t="s">
        <v>73</v>
      </c>
      <c r="E179" s="2">
        <f>SUMIF('03_LOTES'!B:B, F179, '03_LOTES'!E:E)</f>
        <v>0</v>
      </c>
      <c r="F179" s="2">
        <f>A179 &amp; " | " &amp; B179 &amp; " | " &amp; C179</f>
        <v>0</v>
      </c>
      <c r="G179" s="2" t="s">
        <v>490</v>
      </c>
      <c r="I179" s="2" t="s">
        <v>53</v>
      </c>
    </row>
    <row r="180" spans="1:9">
      <c r="A180" s="2" t="s">
        <v>491</v>
      </c>
      <c r="B180" s="2" t="s">
        <v>134</v>
      </c>
      <c r="C180" s="2" t="s">
        <v>96</v>
      </c>
      <c r="D180" s="2" t="s">
        <v>73</v>
      </c>
      <c r="E180" s="2">
        <f>SUMIF('03_LOTES'!B:B, F180, '03_LOTES'!E:E)</f>
        <v>0</v>
      </c>
      <c r="F180" s="2">
        <f>A180 &amp; " | " &amp; B180 &amp; " | " &amp; C180</f>
        <v>0</v>
      </c>
      <c r="G180" s="2" t="s">
        <v>492</v>
      </c>
      <c r="I180" s="2" t="s">
        <v>53</v>
      </c>
    </row>
    <row r="181" spans="1:9">
      <c r="A181" s="2" t="s">
        <v>493</v>
      </c>
      <c r="B181" s="2" t="s">
        <v>237</v>
      </c>
      <c r="C181" s="2" t="s">
        <v>249</v>
      </c>
      <c r="D181" s="2" t="s">
        <v>64</v>
      </c>
      <c r="E181" s="2">
        <f>SUMIF('03_LOTES'!B:B, F181, '03_LOTES'!E:E)</f>
        <v>0</v>
      </c>
      <c r="F181" s="2">
        <f>A181 &amp; " | " &amp; B181 &amp; " | " &amp; C181</f>
        <v>0</v>
      </c>
      <c r="G181" s="2" t="s">
        <v>494</v>
      </c>
      <c r="I181" s="2" t="s">
        <v>53</v>
      </c>
    </row>
    <row r="182" spans="1:9">
      <c r="A182" s="2" t="s">
        <v>493</v>
      </c>
      <c r="B182" s="2" t="s">
        <v>225</v>
      </c>
      <c r="C182" s="2" t="s">
        <v>495</v>
      </c>
      <c r="D182" s="2" t="s">
        <v>64</v>
      </c>
      <c r="E182" s="2">
        <f>SUMIF('03_LOTES'!B:B, F182, '03_LOTES'!E:E)</f>
        <v>0</v>
      </c>
      <c r="F182" s="2">
        <f>A182 &amp; " | " &amp; B182 &amp; " | " &amp; C182</f>
        <v>0</v>
      </c>
      <c r="G182" s="2" t="s">
        <v>496</v>
      </c>
      <c r="I182" s="2" t="s">
        <v>53</v>
      </c>
    </row>
    <row r="183" spans="1:9">
      <c r="A183" s="2" t="s">
        <v>493</v>
      </c>
      <c r="B183" s="2" t="s">
        <v>237</v>
      </c>
      <c r="C183" s="2" t="s">
        <v>497</v>
      </c>
      <c r="D183" s="2" t="s">
        <v>64</v>
      </c>
      <c r="E183" s="2">
        <f>SUMIF('03_LOTES'!B:B, F183, '03_LOTES'!E:E)</f>
        <v>0</v>
      </c>
      <c r="F183" s="2">
        <f>A183 &amp; " | " &amp; B183 &amp; " | " &amp; C183</f>
        <v>0</v>
      </c>
      <c r="G183" s="2" t="s">
        <v>498</v>
      </c>
      <c r="I183" s="2" t="s">
        <v>53</v>
      </c>
    </row>
    <row r="184" spans="1:9">
      <c r="A184" s="2" t="s">
        <v>499</v>
      </c>
      <c r="B184" s="2" t="s">
        <v>112</v>
      </c>
      <c r="C184" s="2" t="s">
        <v>96</v>
      </c>
      <c r="D184" s="2" t="s">
        <v>55</v>
      </c>
      <c r="E184" s="2">
        <f>SUMIF('03_LOTES'!B:B, F184, '03_LOTES'!E:E)</f>
        <v>0</v>
      </c>
      <c r="F184" s="2">
        <f>A184 &amp; " | " &amp; B184 &amp; " | " &amp; C184</f>
        <v>0</v>
      </c>
      <c r="G184" s="2" t="s">
        <v>500</v>
      </c>
      <c r="I184" s="2" t="s">
        <v>53</v>
      </c>
    </row>
    <row r="185" spans="1:9">
      <c r="A185" s="2" t="s">
        <v>499</v>
      </c>
      <c r="B185" s="2" t="s">
        <v>174</v>
      </c>
      <c r="C185" s="2" t="s">
        <v>96</v>
      </c>
      <c r="D185" s="2" t="s">
        <v>55</v>
      </c>
      <c r="E185" s="2">
        <f>SUMIF('03_LOTES'!B:B, F185, '03_LOTES'!E:E)</f>
        <v>0</v>
      </c>
      <c r="F185" s="2">
        <f>A185 &amp; " | " &amp; B185 &amp; " | " &amp; C185</f>
        <v>0</v>
      </c>
      <c r="G185" s="2" t="s">
        <v>501</v>
      </c>
      <c r="I185" s="2" t="s">
        <v>53</v>
      </c>
    </row>
    <row r="186" spans="1:9">
      <c r="A186" s="2" t="s">
        <v>502</v>
      </c>
      <c r="B186" s="2" t="s">
        <v>503</v>
      </c>
      <c r="C186" s="2" t="s">
        <v>77</v>
      </c>
      <c r="D186" s="2" t="s">
        <v>73</v>
      </c>
      <c r="E186" s="2">
        <f>SUMIF('03_LOTES'!B:B, F186, '03_LOTES'!E:E)</f>
        <v>0</v>
      </c>
      <c r="F186" s="2">
        <f>A186 &amp; " | " &amp; B186 &amp; " | " &amp; C186</f>
        <v>0</v>
      </c>
      <c r="G186" s="2" t="s">
        <v>504</v>
      </c>
      <c r="I186" s="2" t="s">
        <v>53</v>
      </c>
    </row>
    <row r="187" spans="1:9">
      <c r="A187" s="2" t="s">
        <v>502</v>
      </c>
      <c r="B187" s="2" t="s">
        <v>505</v>
      </c>
      <c r="C187" s="2" t="s">
        <v>397</v>
      </c>
      <c r="D187" s="2" t="s">
        <v>73</v>
      </c>
      <c r="E187" s="2">
        <f>SUMIF('03_LOTES'!B:B, F187, '03_LOTES'!E:E)</f>
        <v>0</v>
      </c>
      <c r="F187" s="2">
        <f>A187 &amp; " | " &amp; B187 &amp; " | " &amp; C187</f>
        <v>0</v>
      </c>
      <c r="G187" s="2" t="s">
        <v>506</v>
      </c>
      <c r="I187" s="2" t="s">
        <v>53</v>
      </c>
    </row>
    <row r="188" spans="1:9">
      <c r="A188" s="2" t="s">
        <v>507</v>
      </c>
      <c r="B188" s="2" t="s">
        <v>147</v>
      </c>
      <c r="C188" s="2" t="s">
        <v>77</v>
      </c>
      <c r="D188" s="2" t="s">
        <v>73</v>
      </c>
      <c r="E188" s="2">
        <f>SUMIF('03_LOTES'!B:B, F188, '03_LOTES'!E:E)</f>
        <v>0</v>
      </c>
      <c r="F188" s="2">
        <f>A188 &amp; " | " &amp; B188 &amp; " | " &amp; C188</f>
        <v>0</v>
      </c>
      <c r="G188" s="2" t="s">
        <v>508</v>
      </c>
      <c r="I188" s="2" t="s">
        <v>53</v>
      </c>
    </row>
    <row r="189" spans="1:9">
      <c r="A189" s="2" t="s">
        <v>509</v>
      </c>
      <c r="B189" s="2" t="s">
        <v>510</v>
      </c>
      <c r="C189" s="2" t="s">
        <v>511</v>
      </c>
      <c r="D189" s="2" t="s">
        <v>67</v>
      </c>
      <c r="E189" s="2">
        <f>SUMIF('03_LOTES'!B:B, F189, '03_LOTES'!E:E)</f>
        <v>0</v>
      </c>
      <c r="F189" s="2">
        <f>A189 &amp; " | " &amp; B189 &amp; " | " &amp; C189</f>
        <v>0</v>
      </c>
      <c r="G189" s="2" t="s">
        <v>512</v>
      </c>
      <c r="I189" s="2" t="s">
        <v>53</v>
      </c>
    </row>
    <row r="190" spans="1:9">
      <c r="A190" s="2" t="s">
        <v>513</v>
      </c>
      <c r="B190" s="2" t="s">
        <v>225</v>
      </c>
      <c r="C190" s="2" t="s">
        <v>96</v>
      </c>
      <c r="D190" s="2" t="s">
        <v>73</v>
      </c>
      <c r="E190" s="2">
        <f>SUMIF('03_LOTES'!B:B, F190, '03_LOTES'!E:E)</f>
        <v>0</v>
      </c>
      <c r="F190" s="2">
        <f>A190 &amp; " | " &amp; B190 &amp; " | " &amp; C190</f>
        <v>0</v>
      </c>
      <c r="G190" s="2" t="s">
        <v>514</v>
      </c>
      <c r="I190" s="2" t="s">
        <v>53</v>
      </c>
    </row>
    <row r="191" spans="1:9">
      <c r="A191" s="2" t="s">
        <v>515</v>
      </c>
      <c r="B191" s="2" t="s">
        <v>141</v>
      </c>
      <c r="C191" s="2" t="s">
        <v>77</v>
      </c>
      <c r="D191" s="2" t="s">
        <v>67</v>
      </c>
      <c r="E191" s="2">
        <f>SUMIF('03_LOTES'!B:B, F191, '03_LOTES'!E:E)</f>
        <v>0</v>
      </c>
      <c r="F191" s="2">
        <f>A191 &amp; " | " &amp; B191 &amp; " | " &amp; C191</f>
        <v>0</v>
      </c>
      <c r="G191" s="2" t="s">
        <v>516</v>
      </c>
      <c r="I191" s="2" t="s">
        <v>53</v>
      </c>
    </row>
    <row r="192" spans="1:9">
      <c r="A192" s="2" t="s">
        <v>517</v>
      </c>
      <c r="B192" s="2" t="s">
        <v>141</v>
      </c>
      <c r="C192" s="2" t="s">
        <v>96</v>
      </c>
      <c r="D192" s="2" t="s">
        <v>67</v>
      </c>
      <c r="E192" s="2">
        <f>SUMIF('03_LOTES'!B:B, F192, '03_LOTES'!E:E)</f>
        <v>0</v>
      </c>
      <c r="F192" s="2">
        <f>A192 &amp; " | " &amp; B192 &amp; " | " &amp; C192</f>
        <v>0</v>
      </c>
      <c r="G192" s="2" t="s">
        <v>518</v>
      </c>
      <c r="I192" s="2" t="s">
        <v>53</v>
      </c>
    </row>
    <row r="193" spans="1:9">
      <c r="A193" s="2" t="s">
        <v>519</v>
      </c>
      <c r="B193" s="2" t="s">
        <v>90</v>
      </c>
      <c r="C193" s="2" t="s">
        <v>119</v>
      </c>
      <c r="D193" s="2" t="s">
        <v>67</v>
      </c>
      <c r="E193" s="2">
        <f>SUMIF('03_LOTES'!B:B, F193, '03_LOTES'!E:E)</f>
        <v>0</v>
      </c>
      <c r="F193" s="2">
        <f>A193 &amp; " | " &amp; B193 &amp; " | " &amp; C193</f>
        <v>0</v>
      </c>
      <c r="G193" s="2" t="s">
        <v>520</v>
      </c>
      <c r="I193" s="2" t="s">
        <v>53</v>
      </c>
    </row>
    <row r="194" spans="1:9">
      <c r="A194" s="2" t="s">
        <v>521</v>
      </c>
      <c r="B194" s="2" t="s">
        <v>141</v>
      </c>
      <c r="C194" s="2" t="s">
        <v>299</v>
      </c>
      <c r="D194" s="2" t="s">
        <v>73</v>
      </c>
      <c r="E194" s="2">
        <f>SUMIF('03_LOTES'!B:B, F194, '03_LOTES'!E:E)</f>
        <v>0</v>
      </c>
      <c r="F194" s="2">
        <f>A194 &amp; " | " &amp; B194 &amp; " | " &amp; C194</f>
        <v>0</v>
      </c>
      <c r="G194" s="2" t="s">
        <v>522</v>
      </c>
      <c r="I194" s="2" t="s">
        <v>53</v>
      </c>
    </row>
    <row r="195" spans="1:9">
      <c r="A195" s="2" t="s">
        <v>523</v>
      </c>
      <c r="B195" s="2" t="s">
        <v>141</v>
      </c>
      <c r="C195" s="2" t="s">
        <v>299</v>
      </c>
      <c r="D195" s="2" t="s">
        <v>73</v>
      </c>
      <c r="E195" s="2">
        <f>SUMIF('03_LOTES'!B:B, F195, '03_LOTES'!E:E)</f>
        <v>0</v>
      </c>
      <c r="F195" s="2">
        <f>A195 &amp; " | " &amp; B195 &amp; " | " &amp; C195</f>
        <v>0</v>
      </c>
      <c r="G195" s="2" t="s">
        <v>524</v>
      </c>
      <c r="I195" s="2" t="s">
        <v>53</v>
      </c>
    </row>
    <row r="196" spans="1:9">
      <c r="A196" s="2" t="s">
        <v>525</v>
      </c>
      <c r="B196" s="2" t="s">
        <v>141</v>
      </c>
      <c r="C196" s="2" t="s">
        <v>299</v>
      </c>
      <c r="D196" s="2" t="s">
        <v>73</v>
      </c>
      <c r="E196" s="2">
        <f>SUMIF('03_LOTES'!B:B, F196, '03_LOTES'!E:E)</f>
        <v>0</v>
      </c>
      <c r="F196" s="2">
        <f>A196 &amp; " | " &amp; B196 &amp; " | " &amp; C196</f>
        <v>0</v>
      </c>
      <c r="G196" s="2" t="s">
        <v>526</v>
      </c>
      <c r="I196" s="2" t="s">
        <v>53</v>
      </c>
    </row>
    <row r="197" spans="1:9">
      <c r="A197" s="2" t="s">
        <v>527</v>
      </c>
      <c r="B197" s="2" t="s">
        <v>141</v>
      </c>
      <c r="C197" s="2" t="s">
        <v>299</v>
      </c>
      <c r="D197" s="2" t="s">
        <v>73</v>
      </c>
      <c r="E197" s="2">
        <f>SUMIF('03_LOTES'!B:B, F197, '03_LOTES'!E:E)</f>
        <v>0</v>
      </c>
      <c r="F197" s="2">
        <f>A197 &amp; " | " &amp; B197 &amp; " | " &amp; C197</f>
        <v>0</v>
      </c>
      <c r="G197" s="2" t="s">
        <v>528</v>
      </c>
      <c r="I197" s="2" t="s">
        <v>53</v>
      </c>
    </row>
    <row r="198" spans="1:9">
      <c r="A198" s="2" t="s">
        <v>529</v>
      </c>
      <c r="B198" s="2" t="s">
        <v>530</v>
      </c>
      <c r="C198" s="2" t="s">
        <v>96</v>
      </c>
      <c r="D198" s="2" t="s">
        <v>73</v>
      </c>
      <c r="E198" s="2">
        <f>SUMIF('03_LOTES'!B:B, F198, '03_LOTES'!E:E)</f>
        <v>0</v>
      </c>
      <c r="F198" s="2">
        <f>A198 &amp; " | " &amp; B198 &amp; " | " &amp; C198</f>
        <v>0</v>
      </c>
      <c r="G198" s="2" t="s">
        <v>531</v>
      </c>
      <c r="I198" s="2" t="s">
        <v>53</v>
      </c>
    </row>
    <row r="199" spans="1:9">
      <c r="A199" s="2" t="s">
        <v>529</v>
      </c>
      <c r="B199" s="2" t="s">
        <v>532</v>
      </c>
      <c r="C199" s="2" t="s">
        <v>96</v>
      </c>
      <c r="D199" s="2" t="s">
        <v>73</v>
      </c>
      <c r="E199" s="2">
        <f>SUMIF('03_LOTES'!B:B, F199, '03_LOTES'!E:E)</f>
        <v>0</v>
      </c>
      <c r="F199" s="2">
        <f>A199 &amp; " | " &amp; B199 &amp; " | " &amp; C199</f>
        <v>0</v>
      </c>
      <c r="G199" s="2" t="s">
        <v>533</v>
      </c>
      <c r="I199" s="2" t="s">
        <v>53</v>
      </c>
    </row>
    <row r="200" spans="1:9">
      <c r="A200" s="2" t="s">
        <v>529</v>
      </c>
      <c r="B200" s="2" t="s">
        <v>534</v>
      </c>
      <c r="C200" s="2" t="s">
        <v>96</v>
      </c>
      <c r="D200" s="2" t="s">
        <v>73</v>
      </c>
      <c r="E200" s="2">
        <f>SUMIF('03_LOTES'!B:B, F200, '03_LOTES'!E:E)</f>
        <v>0</v>
      </c>
      <c r="F200" s="2">
        <f>A200 &amp; " | " &amp; B200 &amp; " | " &amp; C200</f>
        <v>0</v>
      </c>
      <c r="G200" s="2" t="s">
        <v>535</v>
      </c>
      <c r="I200" s="2" t="s">
        <v>53</v>
      </c>
    </row>
    <row r="201" spans="1:9">
      <c r="A201" s="2" t="s">
        <v>536</v>
      </c>
      <c r="B201" s="2" t="s">
        <v>90</v>
      </c>
      <c r="C201" s="2" t="s">
        <v>537</v>
      </c>
      <c r="D201" s="2" t="s">
        <v>73</v>
      </c>
      <c r="E201" s="2">
        <f>SUMIF('03_LOTES'!B:B, F201, '03_LOTES'!E:E)</f>
        <v>0</v>
      </c>
      <c r="F201" s="2">
        <f>A201 &amp; " | " &amp; B201 &amp; " | " &amp; C201</f>
        <v>0</v>
      </c>
      <c r="G201" s="2" t="s">
        <v>538</v>
      </c>
      <c r="I201" s="2" t="s">
        <v>53</v>
      </c>
    </row>
    <row r="202" spans="1:9">
      <c r="A202" s="2" t="s">
        <v>536</v>
      </c>
      <c r="B202" s="2" t="s">
        <v>90</v>
      </c>
      <c r="C202" s="2" t="s">
        <v>249</v>
      </c>
      <c r="D202" s="2" t="s">
        <v>73</v>
      </c>
      <c r="E202" s="2">
        <f>SUMIF('03_LOTES'!B:B, F202, '03_LOTES'!E:E)</f>
        <v>0</v>
      </c>
      <c r="F202" s="2">
        <f>A202 &amp; " | " &amp; B202 &amp; " | " &amp; C202</f>
        <v>0</v>
      </c>
      <c r="G202" s="2" t="s">
        <v>539</v>
      </c>
      <c r="I202" s="2" t="s">
        <v>53</v>
      </c>
    </row>
    <row r="203" spans="1:9">
      <c r="A203" s="2" t="s">
        <v>540</v>
      </c>
      <c r="B203" s="2" t="s">
        <v>90</v>
      </c>
      <c r="C203" s="2" t="s">
        <v>238</v>
      </c>
      <c r="D203" s="2" t="s">
        <v>73</v>
      </c>
      <c r="E203" s="2">
        <f>SUMIF('03_LOTES'!B:B, F203, '03_LOTES'!E:E)</f>
        <v>0</v>
      </c>
      <c r="F203" s="2">
        <f>A203 &amp; " | " &amp; B203 &amp; " | " &amp; C203</f>
        <v>0</v>
      </c>
      <c r="G203" s="2" t="s">
        <v>541</v>
      </c>
      <c r="I203" s="2" t="s">
        <v>53</v>
      </c>
    </row>
    <row r="204" spans="1:9">
      <c r="A204" s="2" t="s">
        <v>540</v>
      </c>
      <c r="B204" s="2" t="s">
        <v>90</v>
      </c>
      <c r="C204" s="2" t="s">
        <v>469</v>
      </c>
      <c r="D204" s="2" t="s">
        <v>73</v>
      </c>
      <c r="E204" s="2">
        <f>SUMIF('03_LOTES'!B:B, F204, '03_LOTES'!E:E)</f>
        <v>0</v>
      </c>
      <c r="F204" s="2">
        <f>A204 &amp; " | " &amp; B204 &amp; " | " &amp; C204</f>
        <v>0</v>
      </c>
      <c r="G204" s="2" t="s">
        <v>542</v>
      </c>
      <c r="I204" s="2" t="s">
        <v>53</v>
      </c>
    </row>
    <row r="205" spans="1:9">
      <c r="A205" s="2" t="s">
        <v>543</v>
      </c>
      <c r="B205" s="2" t="s">
        <v>544</v>
      </c>
      <c r="C205" s="2" t="s">
        <v>96</v>
      </c>
      <c r="D205" s="2" t="s">
        <v>73</v>
      </c>
      <c r="E205" s="2">
        <f>SUMIF('03_LOTES'!B:B, F205, '03_LOTES'!E:E)</f>
        <v>0</v>
      </c>
      <c r="F205" s="2">
        <f>A205 &amp; " | " &amp; B205 &amp; " | " &amp; C205</f>
        <v>0</v>
      </c>
      <c r="G205" s="2" t="s">
        <v>545</v>
      </c>
      <c r="I205" s="2" t="s">
        <v>53</v>
      </c>
    </row>
    <row r="206" spans="1:9">
      <c r="A206" s="2" t="s">
        <v>546</v>
      </c>
      <c r="B206" s="2" t="s">
        <v>547</v>
      </c>
      <c r="C206" s="2" t="s">
        <v>77</v>
      </c>
      <c r="D206" s="2" t="s">
        <v>73</v>
      </c>
      <c r="E206" s="2">
        <f>SUMIF('03_LOTES'!B:B, F206, '03_LOTES'!E:E)</f>
        <v>0</v>
      </c>
      <c r="F206" s="2">
        <f>A206 &amp; " | " &amp; B206 &amp; " | " &amp; C206</f>
        <v>0</v>
      </c>
      <c r="G206" s="2" t="s">
        <v>548</v>
      </c>
      <c r="I206" s="2" t="s">
        <v>53</v>
      </c>
    </row>
    <row r="207" spans="1:9">
      <c r="A207" s="2" t="s">
        <v>546</v>
      </c>
      <c r="B207" s="2" t="s">
        <v>549</v>
      </c>
      <c r="C207" s="2" t="s">
        <v>105</v>
      </c>
      <c r="D207" s="2" t="s">
        <v>73</v>
      </c>
      <c r="E207" s="2">
        <f>SUMIF('03_LOTES'!B:B, F207, '03_LOTES'!E:E)</f>
        <v>0</v>
      </c>
      <c r="F207" s="2">
        <f>A207 &amp; " | " &amp; B207 &amp; " | " &amp; C207</f>
        <v>0</v>
      </c>
      <c r="G207" s="2" t="s">
        <v>550</v>
      </c>
      <c r="I207" s="2" t="s">
        <v>53</v>
      </c>
    </row>
    <row r="208" spans="1:9">
      <c r="A208" s="2" t="s">
        <v>546</v>
      </c>
      <c r="B208" s="2" t="s">
        <v>551</v>
      </c>
      <c r="C208" s="2" t="s">
        <v>77</v>
      </c>
      <c r="D208" s="2" t="s">
        <v>73</v>
      </c>
      <c r="E208" s="2">
        <f>SUMIF('03_LOTES'!B:B, F208, '03_LOTES'!E:E)</f>
        <v>0</v>
      </c>
      <c r="F208" s="2">
        <f>A208 &amp; " | " &amp; B208 &amp; " | " &amp; C208</f>
        <v>0</v>
      </c>
      <c r="G208" s="2" t="s">
        <v>552</v>
      </c>
      <c r="I208" s="2" t="s">
        <v>53</v>
      </c>
    </row>
    <row r="209" spans="1:9">
      <c r="A209" s="2" t="s">
        <v>546</v>
      </c>
      <c r="B209" s="2" t="s">
        <v>553</v>
      </c>
      <c r="C209" s="2" t="s">
        <v>77</v>
      </c>
      <c r="D209" s="2" t="s">
        <v>73</v>
      </c>
      <c r="E209" s="2">
        <f>SUMIF('03_LOTES'!B:B, F209, '03_LOTES'!E:E)</f>
        <v>0</v>
      </c>
      <c r="F209" s="2">
        <f>A209 &amp; " | " &amp; B209 &amp; " | " &amp; C209</f>
        <v>0</v>
      </c>
      <c r="G209" s="2" t="s">
        <v>554</v>
      </c>
      <c r="I209" s="2" t="s">
        <v>53</v>
      </c>
    </row>
    <row r="210" spans="1:9">
      <c r="A210" s="2" t="s">
        <v>546</v>
      </c>
      <c r="B210" s="2" t="s">
        <v>555</v>
      </c>
      <c r="C210" s="2" t="s">
        <v>96</v>
      </c>
      <c r="D210" s="2" t="s">
        <v>73</v>
      </c>
      <c r="E210" s="2">
        <f>SUMIF('03_LOTES'!B:B, F210, '03_LOTES'!E:E)</f>
        <v>0</v>
      </c>
      <c r="F210" s="2">
        <f>A210 &amp; " | " &amp; B210 &amp; " | " &amp; C210</f>
        <v>0</v>
      </c>
      <c r="G210" s="2" t="s">
        <v>556</v>
      </c>
      <c r="I210" s="2" t="s">
        <v>53</v>
      </c>
    </row>
    <row r="211" spans="1:9">
      <c r="A211" s="2" t="s">
        <v>546</v>
      </c>
      <c r="B211" s="2" t="s">
        <v>555</v>
      </c>
      <c r="C211" s="2" t="s">
        <v>105</v>
      </c>
      <c r="D211" s="2" t="s">
        <v>73</v>
      </c>
      <c r="E211" s="2">
        <f>SUMIF('03_LOTES'!B:B, F211, '03_LOTES'!E:E)</f>
        <v>0</v>
      </c>
      <c r="F211" s="2">
        <f>A211 &amp; " | " &amp; B211 &amp; " | " &amp; C211</f>
        <v>0</v>
      </c>
      <c r="G211" s="2" t="s">
        <v>557</v>
      </c>
      <c r="I211" s="2" t="s">
        <v>53</v>
      </c>
    </row>
    <row r="212" spans="1:9">
      <c r="A212" s="2" t="s">
        <v>558</v>
      </c>
      <c r="B212" s="2" t="s">
        <v>107</v>
      </c>
      <c r="C212" s="2" t="s">
        <v>96</v>
      </c>
      <c r="D212" s="2" t="s">
        <v>73</v>
      </c>
      <c r="E212" s="2">
        <f>SUMIF('03_LOTES'!B:B, F212, '03_LOTES'!E:E)</f>
        <v>0</v>
      </c>
      <c r="F212" s="2">
        <f>A212 &amp; " | " &amp; B212 &amp; " | " &amp; C212</f>
        <v>0</v>
      </c>
      <c r="G212" s="2" t="s">
        <v>559</v>
      </c>
      <c r="I212" s="2" t="s">
        <v>53</v>
      </c>
    </row>
    <row r="213" spans="1:9">
      <c r="A213" s="2" t="s">
        <v>560</v>
      </c>
      <c r="B213" s="2" t="s">
        <v>208</v>
      </c>
      <c r="C213" s="2" t="s">
        <v>219</v>
      </c>
      <c r="D213" s="2" t="s">
        <v>73</v>
      </c>
      <c r="E213" s="2">
        <f>SUMIF('03_LOTES'!B:B, F213, '03_LOTES'!E:E)</f>
        <v>0</v>
      </c>
      <c r="F213" s="2">
        <f>A213 &amp; " | " &amp; B213 &amp; " | " &amp; C213</f>
        <v>0</v>
      </c>
      <c r="G213" s="2" t="s">
        <v>561</v>
      </c>
      <c r="I213" s="2" t="s">
        <v>53</v>
      </c>
    </row>
    <row r="214" spans="1:9">
      <c r="A214" s="2" t="s">
        <v>562</v>
      </c>
      <c r="B214" s="2" t="s">
        <v>563</v>
      </c>
      <c r="C214" s="2" t="s">
        <v>96</v>
      </c>
      <c r="D214" s="2" t="s">
        <v>73</v>
      </c>
      <c r="E214" s="2">
        <f>SUMIF('03_LOTES'!B:B, F214, '03_LOTES'!E:E)</f>
        <v>0</v>
      </c>
      <c r="F214" s="2">
        <f>A214 &amp; " | " &amp; B214 &amp; " | " &amp; C214</f>
        <v>0</v>
      </c>
      <c r="G214" s="2" t="s">
        <v>564</v>
      </c>
      <c r="I214" s="2" t="s">
        <v>53</v>
      </c>
    </row>
    <row r="215" spans="1:9">
      <c r="A215" s="2" t="s">
        <v>565</v>
      </c>
      <c r="B215" s="2" t="s">
        <v>225</v>
      </c>
      <c r="C215" s="2" t="s">
        <v>77</v>
      </c>
      <c r="D215" s="2" t="s">
        <v>73</v>
      </c>
      <c r="E215" s="2">
        <f>SUMIF('03_LOTES'!B:B, F215, '03_LOTES'!E:E)</f>
        <v>0</v>
      </c>
      <c r="F215" s="2">
        <f>A215 &amp; " | " &amp; B215 &amp; " | " &amp; C215</f>
        <v>0</v>
      </c>
      <c r="G215" s="2" t="s">
        <v>566</v>
      </c>
      <c r="I215" s="2" t="s">
        <v>53</v>
      </c>
    </row>
    <row r="216" spans="1:9">
      <c r="A216" s="2" t="s">
        <v>565</v>
      </c>
      <c r="B216" s="2" t="s">
        <v>151</v>
      </c>
      <c r="C216" s="2" t="s">
        <v>77</v>
      </c>
      <c r="D216" s="2" t="s">
        <v>73</v>
      </c>
      <c r="E216" s="2">
        <f>SUMIF('03_LOTES'!B:B, F216, '03_LOTES'!E:E)</f>
        <v>0</v>
      </c>
      <c r="F216" s="2">
        <f>A216 &amp; " | " &amp; B216 &amp; " | " &amp; C216</f>
        <v>0</v>
      </c>
      <c r="G216" s="2" t="s">
        <v>567</v>
      </c>
      <c r="I216" s="2" t="s">
        <v>53</v>
      </c>
    </row>
    <row r="217" spans="1:9">
      <c r="A217" s="2" t="s">
        <v>568</v>
      </c>
      <c r="B217" s="2" t="s">
        <v>442</v>
      </c>
      <c r="C217" s="2" t="s">
        <v>77</v>
      </c>
      <c r="D217" s="2" t="s">
        <v>73</v>
      </c>
      <c r="E217" s="2">
        <f>SUMIF('03_LOTES'!B:B, F217, '03_LOTES'!E:E)</f>
        <v>0</v>
      </c>
      <c r="F217" s="2">
        <f>A217 &amp; " | " &amp; B217 &amp; " | " &amp; C217</f>
        <v>0</v>
      </c>
      <c r="G217" s="2" t="s">
        <v>569</v>
      </c>
      <c r="I217" s="2" t="s">
        <v>53</v>
      </c>
    </row>
    <row r="218" spans="1:9">
      <c r="A218" s="2" t="s">
        <v>570</v>
      </c>
      <c r="B218" s="2" t="s">
        <v>229</v>
      </c>
      <c r="C218" s="2" t="s">
        <v>77</v>
      </c>
      <c r="D218" s="2" t="s">
        <v>73</v>
      </c>
      <c r="E218" s="2">
        <f>SUMIF('03_LOTES'!B:B, F218, '03_LOTES'!E:E)</f>
        <v>0</v>
      </c>
      <c r="F218" s="2">
        <f>A218 &amp; " | " &amp; B218 &amp; " | " &amp; C218</f>
        <v>0</v>
      </c>
      <c r="G218" s="2" t="s">
        <v>571</v>
      </c>
      <c r="I218" s="2" t="s">
        <v>53</v>
      </c>
    </row>
    <row r="219" spans="1:9">
      <c r="A219" s="2" t="s">
        <v>570</v>
      </c>
      <c r="B219" s="2" t="s">
        <v>151</v>
      </c>
      <c r="C219" s="2" t="s">
        <v>77</v>
      </c>
      <c r="D219" s="2" t="s">
        <v>73</v>
      </c>
      <c r="E219" s="2">
        <f>SUMIF('03_LOTES'!B:B, F219, '03_LOTES'!E:E)</f>
        <v>0</v>
      </c>
      <c r="F219" s="2">
        <f>A219 &amp; " | " &amp; B219 &amp; " | " &amp; C219</f>
        <v>0</v>
      </c>
      <c r="G219" s="2" t="s">
        <v>572</v>
      </c>
      <c r="I219" s="2" t="s">
        <v>53</v>
      </c>
    </row>
    <row r="220" spans="1:9">
      <c r="A220" s="2" t="s">
        <v>570</v>
      </c>
      <c r="B220" s="2" t="s">
        <v>573</v>
      </c>
      <c r="C220" s="2" t="s">
        <v>77</v>
      </c>
      <c r="D220" s="2" t="s">
        <v>73</v>
      </c>
      <c r="E220" s="2">
        <f>SUMIF('03_LOTES'!B:B, F220, '03_LOTES'!E:E)</f>
        <v>0</v>
      </c>
      <c r="F220" s="2">
        <f>A220 &amp; " | " &amp; B220 &amp; " | " &amp; C220</f>
        <v>0</v>
      </c>
      <c r="G220" s="2" t="s">
        <v>574</v>
      </c>
      <c r="I220" s="2" t="s">
        <v>53</v>
      </c>
    </row>
    <row r="221" spans="1:9">
      <c r="A221" s="2" t="s">
        <v>570</v>
      </c>
      <c r="B221" s="2" t="s">
        <v>225</v>
      </c>
      <c r="C221" s="2" t="s">
        <v>77</v>
      </c>
      <c r="D221" s="2" t="s">
        <v>73</v>
      </c>
      <c r="E221" s="2">
        <f>SUMIF('03_LOTES'!B:B, F221, '03_LOTES'!E:E)</f>
        <v>0</v>
      </c>
      <c r="F221" s="2">
        <f>A221 &amp; " | " &amp; B221 &amp; " | " &amp; C221</f>
        <v>0</v>
      </c>
      <c r="G221" s="2" t="s">
        <v>575</v>
      </c>
      <c r="I221" s="2" t="s">
        <v>53</v>
      </c>
    </row>
    <row r="222" spans="1:9">
      <c r="A222" s="2" t="s">
        <v>576</v>
      </c>
      <c r="B222" s="2" t="s">
        <v>229</v>
      </c>
      <c r="C222" s="2" t="s">
        <v>96</v>
      </c>
      <c r="D222" s="2" t="s">
        <v>73</v>
      </c>
      <c r="E222" s="2">
        <f>SUMIF('03_LOTES'!B:B, F222, '03_LOTES'!E:E)</f>
        <v>0</v>
      </c>
      <c r="F222" s="2">
        <f>A222 &amp; " | " &amp; B222 &amp; " | " &amp; C222</f>
        <v>0</v>
      </c>
      <c r="G222" s="2" t="s">
        <v>577</v>
      </c>
      <c r="I222" s="2" t="s">
        <v>53</v>
      </c>
    </row>
    <row r="223" spans="1:9">
      <c r="A223" s="2" t="s">
        <v>578</v>
      </c>
      <c r="B223" s="2" t="s">
        <v>112</v>
      </c>
      <c r="C223" s="2" t="s">
        <v>96</v>
      </c>
      <c r="D223" s="2" t="s">
        <v>73</v>
      </c>
      <c r="E223" s="2">
        <f>SUMIF('03_LOTES'!B:B, F223, '03_LOTES'!E:E)</f>
        <v>0</v>
      </c>
      <c r="F223" s="2">
        <f>A223 &amp; " | " &amp; B223 &amp; " | " &amp; C223</f>
        <v>0</v>
      </c>
      <c r="G223" s="2" t="s">
        <v>579</v>
      </c>
      <c r="I223" s="2" t="s">
        <v>53</v>
      </c>
    </row>
    <row r="224" spans="1:9">
      <c r="A224" s="2" t="s">
        <v>580</v>
      </c>
      <c r="B224" s="2" t="s">
        <v>225</v>
      </c>
      <c r="C224" s="2" t="s">
        <v>77</v>
      </c>
      <c r="D224" s="2" t="s">
        <v>73</v>
      </c>
      <c r="E224" s="2">
        <f>SUMIF('03_LOTES'!B:B, F224, '03_LOTES'!E:E)</f>
        <v>0</v>
      </c>
      <c r="F224" s="2">
        <f>A224 &amp; " | " &amp; B224 &amp; " | " &amp; C224</f>
        <v>0</v>
      </c>
      <c r="G224" s="2" t="s">
        <v>581</v>
      </c>
      <c r="I224" s="2" t="s">
        <v>53</v>
      </c>
    </row>
    <row r="225" spans="1:9">
      <c r="A225" s="2" t="s">
        <v>582</v>
      </c>
      <c r="B225" s="2" t="s">
        <v>583</v>
      </c>
      <c r="C225" s="2" t="s">
        <v>584</v>
      </c>
      <c r="D225" s="2" t="s">
        <v>73</v>
      </c>
      <c r="E225" s="2">
        <f>SUMIF('03_LOTES'!B:B, F225, '03_LOTES'!E:E)</f>
        <v>0</v>
      </c>
      <c r="F225" s="2">
        <f>A225 &amp; " | " &amp; B225 &amp; " | " &amp; C225</f>
        <v>0</v>
      </c>
      <c r="G225" s="2" t="s">
        <v>585</v>
      </c>
      <c r="I225" s="2" t="s">
        <v>53</v>
      </c>
    </row>
    <row r="226" spans="1:9">
      <c r="A226" s="2" t="s">
        <v>586</v>
      </c>
      <c r="B226" s="2" t="s">
        <v>287</v>
      </c>
      <c r="C226" s="2" t="s">
        <v>77</v>
      </c>
      <c r="D226" s="2" t="s">
        <v>73</v>
      </c>
      <c r="E226" s="2">
        <f>SUMIF('03_LOTES'!B:B, F226, '03_LOTES'!E:E)</f>
        <v>0</v>
      </c>
      <c r="F226" s="2">
        <f>A226 &amp; " | " &amp; B226 &amp; " | " &amp; C226</f>
        <v>0</v>
      </c>
      <c r="G226" s="2" t="s">
        <v>587</v>
      </c>
      <c r="I226" s="2" t="s">
        <v>53</v>
      </c>
    </row>
    <row r="227" spans="1:9">
      <c r="A227" s="2" t="s">
        <v>586</v>
      </c>
      <c r="B227" s="2" t="s">
        <v>147</v>
      </c>
      <c r="C227" s="2" t="s">
        <v>77</v>
      </c>
      <c r="D227" s="2" t="s">
        <v>73</v>
      </c>
      <c r="E227" s="2">
        <f>SUMIF('03_LOTES'!B:B, F227, '03_LOTES'!E:E)</f>
        <v>0</v>
      </c>
      <c r="F227" s="2">
        <f>A227 &amp; " | " &amp; B227 &amp; " | " &amp; C227</f>
        <v>0</v>
      </c>
      <c r="G227" s="2" t="s">
        <v>588</v>
      </c>
      <c r="I227" s="2" t="s">
        <v>53</v>
      </c>
    </row>
    <row r="228" spans="1:9">
      <c r="A228" s="2" t="s">
        <v>586</v>
      </c>
      <c r="B228" s="2" t="s">
        <v>589</v>
      </c>
      <c r="C228" s="2" t="s">
        <v>96</v>
      </c>
      <c r="D228" s="2" t="s">
        <v>73</v>
      </c>
      <c r="E228" s="2">
        <f>SUMIF('03_LOTES'!B:B, F228, '03_LOTES'!E:E)</f>
        <v>0</v>
      </c>
      <c r="F228" s="2">
        <f>A228 &amp; " | " &amp; B228 &amp; " | " &amp; C228</f>
        <v>0</v>
      </c>
      <c r="G228" s="2" t="s">
        <v>590</v>
      </c>
      <c r="I228" s="2" t="s">
        <v>53</v>
      </c>
    </row>
    <row r="229" spans="1:9">
      <c r="A229" s="2" t="s">
        <v>586</v>
      </c>
      <c r="B229" s="2" t="s">
        <v>290</v>
      </c>
      <c r="C229" s="2" t="s">
        <v>238</v>
      </c>
      <c r="D229" s="2" t="s">
        <v>73</v>
      </c>
      <c r="E229" s="2">
        <f>SUMIF('03_LOTES'!B:B, F229, '03_LOTES'!E:E)</f>
        <v>0</v>
      </c>
      <c r="F229" s="2">
        <f>A229 &amp; " | " &amp; B229 &amp; " | " &amp; C229</f>
        <v>0</v>
      </c>
      <c r="G229" s="2" t="s">
        <v>591</v>
      </c>
      <c r="I229" s="2" t="s">
        <v>53</v>
      </c>
    </row>
    <row r="230" spans="1:9">
      <c r="A230" s="2" t="s">
        <v>586</v>
      </c>
      <c r="B230" s="2" t="s">
        <v>290</v>
      </c>
      <c r="C230" s="2" t="s">
        <v>592</v>
      </c>
      <c r="D230" s="2" t="s">
        <v>73</v>
      </c>
      <c r="E230" s="2">
        <f>SUMIF('03_LOTES'!B:B, F230, '03_LOTES'!E:E)</f>
        <v>0</v>
      </c>
      <c r="F230" s="2">
        <f>A230 &amp; " | " &amp; B230 &amp; " | " &amp; C230</f>
        <v>0</v>
      </c>
      <c r="G230" s="2" t="s">
        <v>593</v>
      </c>
      <c r="I230" s="2" t="s">
        <v>53</v>
      </c>
    </row>
    <row r="231" spans="1:9">
      <c r="A231" s="2" t="s">
        <v>594</v>
      </c>
      <c r="B231" s="2" t="s">
        <v>363</v>
      </c>
      <c r="C231" s="2" t="s">
        <v>96</v>
      </c>
      <c r="D231" s="2" t="s">
        <v>73</v>
      </c>
      <c r="E231" s="2">
        <f>SUMIF('03_LOTES'!B:B, F231, '03_LOTES'!E:E)</f>
        <v>0</v>
      </c>
      <c r="F231" s="2">
        <f>A231 &amp; " | " &amp; B231 &amp; " | " &amp; C231</f>
        <v>0</v>
      </c>
      <c r="G231" s="2" t="s">
        <v>595</v>
      </c>
      <c r="I231" s="2" t="s">
        <v>53</v>
      </c>
    </row>
    <row r="232" spans="1:9">
      <c r="A232" s="2" t="s">
        <v>596</v>
      </c>
      <c r="B232" s="2" t="s">
        <v>505</v>
      </c>
      <c r="C232" s="2" t="s">
        <v>397</v>
      </c>
      <c r="D232" s="2" t="s">
        <v>73</v>
      </c>
      <c r="E232" s="2">
        <f>SUMIF('03_LOTES'!B:B, F232, '03_LOTES'!E:E)</f>
        <v>0</v>
      </c>
      <c r="F232" s="2">
        <f>A232 &amp; " | " &amp; B232 &amp; " | " &amp; C232</f>
        <v>0</v>
      </c>
      <c r="G232" s="2" t="s">
        <v>597</v>
      </c>
      <c r="I232" s="2" t="s">
        <v>53</v>
      </c>
    </row>
    <row r="233" spans="1:9">
      <c r="A233" s="2" t="s">
        <v>598</v>
      </c>
      <c r="B233" s="2" t="s">
        <v>599</v>
      </c>
      <c r="C233" s="2" t="s">
        <v>125</v>
      </c>
      <c r="D233" s="2" t="s">
        <v>73</v>
      </c>
      <c r="E233" s="2">
        <f>SUMIF('03_LOTES'!B:B, F233, '03_LOTES'!E:E)</f>
        <v>0</v>
      </c>
      <c r="F233" s="2">
        <f>A233 &amp; " | " &amp; B233 &amp; " | " &amp; C233</f>
        <v>0</v>
      </c>
      <c r="G233" s="2" t="s">
        <v>600</v>
      </c>
      <c r="I233" s="2" t="s">
        <v>53</v>
      </c>
    </row>
    <row r="234" spans="1:9">
      <c r="A234" s="2" t="s">
        <v>601</v>
      </c>
      <c r="B234" s="2" t="s">
        <v>171</v>
      </c>
      <c r="C234" s="2" t="s">
        <v>148</v>
      </c>
      <c r="D234" s="2" t="s">
        <v>73</v>
      </c>
      <c r="E234" s="2">
        <f>SUMIF('03_LOTES'!B:B, F234, '03_LOTES'!E:E)</f>
        <v>0</v>
      </c>
      <c r="F234" s="2">
        <f>A234 &amp; " | " &amp; B234 &amp; " | " &amp; C234</f>
        <v>0</v>
      </c>
      <c r="G234" s="2" t="s">
        <v>602</v>
      </c>
      <c r="I234" s="2" t="s">
        <v>53</v>
      </c>
    </row>
    <row r="235" spans="1:9">
      <c r="A235" s="2" t="s">
        <v>601</v>
      </c>
      <c r="B235" s="2" t="s">
        <v>171</v>
      </c>
      <c r="C235" s="2" t="s">
        <v>96</v>
      </c>
      <c r="D235" s="2" t="s">
        <v>73</v>
      </c>
      <c r="E235" s="2">
        <f>SUMIF('03_LOTES'!B:B, F235, '03_LOTES'!E:E)</f>
        <v>0</v>
      </c>
      <c r="F235" s="2">
        <f>A235 &amp; " | " &amp; B235 &amp; " | " &amp; C235</f>
        <v>0</v>
      </c>
      <c r="G235" s="2" t="s">
        <v>603</v>
      </c>
      <c r="I235" s="2" t="s">
        <v>53</v>
      </c>
    </row>
    <row r="236" spans="1:9">
      <c r="A236" s="2" t="s">
        <v>601</v>
      </c>
      <c r="B236" s="2" t="s">
        <v>309</v>
      </c>
      <c r="C236" s="2" t="s">
        <v>148</v>
      </c>
      <c r="D236" s="2" t="s">
        <v>73</v>
      </c>
      <c r="E236" s="2">
        <f>SUMIF('03_LOTES'!B:B, F236, '03_LOTES'!E:E)</f>
        <v>0</v>
      </c>
      <c r="F236" s="2">
        <f>A236 &amp; " | " &amp; B236 &amp; " | " &amp; C236</f>
        <v>0</v>
      </c>
      <c r="G236" s="2" t="s">
        <v>604</v>
      </c>
      <c r="I236" s="2" t="s">
        <v>53</v>
      </c>
    </row>
    <row r="237" spans="1:9">
      <c r="A237" s="2" t="s">
        <v>605</v>
      </c>
      <c r="B237" s="2" t="s">
        <v>237</v>
      </c>
      <c r="C237" s="2" t="s">
        <v>606</v>
      </c>
      <c r="D237" s="2" t="s">
        <v>51</v>
      </c>
      <c r="E237" s="2">
        <f>SUMIF('03_LOTES'!B:B, F237, '03_LOTES'!E:E)</f>
        <v>0</v>
      </c>
      <c r="F237" s="2">
        <f>A237 &amp; " | " &amp; B237 &amp; " | " &amp; C237</f>
        <v>0</v>
      </c>
      <c r="G237" s="2" t="s">
        <v>607</v>
      </c>
      <c r="I237" s="2" t="s">
        <v>53</v>
      </c>
    </row>
    <row r="238" spans="1:9">
      <c r="A238" s="2" t="s">
        <v>605</v>
      </c>
      <c r="B238" s="2" t="s">
        <v>151</v>
      </c>
      <c r="C238" s="2" t="s">
        <v>77</v>
      </c>
      <c r="D238" s="2" t="s">
        <v>51</v>
      </c>
      <c r="E238" s="2">
        <f>SUMIF('03_LOTES'!B:B, F238, '03_LOTES'!E:E)</f>
        <v>0</v>
      </c>
      <c r="F238" s="2">
        <f>A238 &amp; " | " &amp; B238 &amp; " | " &amp; C238</f>
        <v>0</v>
      </c>
      <c r="G238" s="2" t="s">
        <v>608</v>
      </c>
      <c r="I238" s="2" t="s">
        <v>53</v>
      </c>
    </row>
    <row r="239" spans="1:9">
      <c r="A239" s="2" t="s">
        <v>605</v>
      </c>
      <c r="B239" s="2" t="s">
        <v>455</v>
      </c>
      <c r="C239" s="2" t="s">
        <v>96</v>
      </c>
      <c r="D239" s="2" t="s">
        <v>51</v>
      </c>
      <c r="E239" s="2">
        <f>SUMIF('03_LOTES'!B:B, F239, '03_LOTES'!E:E)</f>
        <v>0</v>
      </c>
      <c r="F239" s="2">
        <f>A239 &amp; " | " &amp; B239 &amp; " | " &amp; C239</f>
        <v>0</v>
      </c>
      <c r="G239" s="2" t="s">
        <v>609</v>
      </c>
      <c r="I239" s="2" t="s">
        <v>53</v>
      </c>
    </row>
    <row r="240" spans="1:9">
      <c r="A240" s="2" t="s">
        <v>605</v>
      </c>
      <c r="B240" s="2" t="s">
        <v>290</v>
      </c>
      <c r="C240" s="2" t="s">
        <v>238</v>
      </c>
      <c r="D240" s="2" t="s">
        <v>51</v>
      </c>
      <c r="E240" s="2">
        <f>SUMIF('03_LOTES'!B:B, F240, '03_LOTES'!E:E)</f>
        <v>0</v>
      </c>
      <c r="F240" s="2">
        <f>A240 &amp; " | " &amp; B240 &amp; " | " &amp; C240</f>
        <v>0</v>
      </c>
      <c r="G240" s="2" t="s">
        <v>610</v>
      </c>
      <c r="I240" s="2" t="s">
        <v>53</v>
      </c>
    </row>
    <row r="241" spans="1:9">
      <c r="A241" s="2" t="s">
        <v>611</v>
      </c>
      <c r="B241" s="2" t="s">
        <v>112</v>
      </c>
      <c r="C241" s="2" t="s">
        <v>83</v>
      </c>
      <c r="D241" s="2" t="s">
        <v>55</v>
      </c>
      <c r="E241" s="2">
        <f>SUMIF('03_LOTES'!B:B, F241, '03_LOTES'!E:E)</f>
        <v>0</v>
      </c>
      <c r="F241" s="2">
        <f>A241 &amp; " | " &amp; B241 &amp; " | " &amp; C241</f>
        <v>0</v>
      </c>
      <c r="G241" s="2" t="s">
        <v>612</v>
      </c>
      <c r="I241" s="2" t="s">
        <v>53</v>
      </c>
    </row>
    <row r="242" spans="1:9">
      <c r="A242" s="2" t="s">
        <v>611</v>
      </c>
      <c r="B242" s="2" t="s">
        <v>388</v>
      </c>
      <c r="C242" s="2" t="s">
        <v>105</v>
      </c>
      <c r="D242" s="2" t="s">
        <v>55</v>
      </c>
      <c r="E242" s="2">
        <f>SUMIF('03_LOTES'!B:B, F242, '03_LOTES'!E:E)</f>
        <v>0</v>
      </c>
      <c r="F242" s="2">
        <f>A242 &amp; " | " &amp; B242 &amp; " | " &amp; C242</f>
        <v>0</v>
      </c>
      <c r="G242" s="2" t="s">
        <v>613</v>
      </c>
      <c r="I242" s="2" t="s">
        <v>53</v>
      </c>
    </row>
    <row r="243" spans="1:9">
      <c r="A243" s="2" t="s">
        <v>614</v>
      </c>
      <c r="B243" s="2" t="s">
        <v>615</v>
      </c>
      <c r="C243" s="2" t="s">
        <v>339</v>
      </c>
      <c r="D243" s="2" t="s">
        <v>73</v>
      </c>
      <c r="E243" s="2">
        <f>SUMIF('03_LOTES'!B:B, F243, '03_LOTES'!E:E)</f>
        <v>0</v>
      </c>
      <c r="F243" s="2">
        <f>A243 &amp; " | " &amp; B243 &amp; " | " &amp; C243</f>
        <v>0</v>
      </c>
      <c r="G243" s="2" t="s">
        <v>616</v>
      </c>
      <c r="I243" s="2" t="s">
        <v>53</v>
      </c>
    </row>
    <row r="244" spans="1:9">
      <c r="A244" s="2" t="s">
        <v>614</v>
      </c>
      <c r="B244" s="2" t="s">
        <v>617</v>
      </c>
      <c r="C244" s="2" t="s">
        <v>96</v>
      </c>
      <c r="D244" s="2" t="s">
        <v>73</v>
      </c>
      <c r="E244" s="2">
        <f>SUMIF('03_LOTES'!B:B, F244, '03_LOTES'!E:E)</f>
        <v>0</v>
      </c>
      <c r="F244" s="2">
        <f>A244 &amp; " | " &amp; B244 &amp; " | " &amp; C244</f>
        <v>0</v>
      </c>
      <c r="G244" s="2" t="s">
        <v>618</v>
      </c>
      <c r="I244" s="2" t="s">
        <v>53</v>
      </c>
    </row>
    <row r="245" spans="1:9">
      <c r="A245" s="2" t="s">
        <v>614</v>
      </c>
      <c r="B245" s="2" t="s">
        <v>619</v>
      </c>
      <c r="C245" s="2" t="s">
        <v>148</v>
      </c>
      <c r="D245" s="2" t="s">
        <v>73</v>
      </c>
      <c r="E245" s="2">
        <f>SUMIF('03_LOTES'!B:B, F245, '03_LOTES'!E:E)</f>
        <v>0</v>
      </c>
      <c r="F245" s="2">
        <f>A245 &amp; " | " &amp; B245 &amp; " | " &amp; C245</f>
        <v>0</v>
      </c>
      <c r="G245" s="2" t="s">
        <v>620</v>
      </c>
      <c r="I245" s="2" t="s">
        <v>53</v>
      </c>
    </row>
    <row r="246" spans="1:9">
      <c r="A246" s="2" t="s">
        <v>621</v>
      </c>
      <c r="B246" s="2" t="s">
        <v>151</v>
      </c>
      <c r="C246" s="2" t="s">
        <v>77</v>
      </c>
      <c r="D246" s="2" t="s">
        <v>73</v>
      </c>
      <c r="E246" s="2">
        <f>SUMIF('03_LOTES'!B:B, F246, '03_LOTES'!E:E)</f>
        <v>0</v>
      </c>
      <c r="F246" s="2">
        <f>A246 &amp; " | " &amp; B246 &amp; " | " &amp; C246</f>
        <v>0</v>
      </c>
      <c r="G246" s="2" t="s">
        <v>622</v>
      </c>
      <c r="I246" s="2" t="s">
        <v>53</v>
      </c>
    </row>
    <row r="247" spans="1:9">
      <c r="A247" s="2" t="s">
        <v>621</v>
      </c>
      <c r="B247" s="2" t="s">
        <v>151</v>
      </c>
      <c r="C247" s="2" t="s">
        <v>537</v>
      </c>
      <c r="D247" s="2" t="s">
        <v>73</v>
      </c>
      <c r="E247" s="2">
        <f>SUMIF('03_LOTES'!B:B, F247, '03_LOTES'!E:E)</f>
        <v>0</v>
      </c>
      <c r="F247" s="2">
        <f>A247 &amp; " | " &amp; B247 &amp; " | " &amp; C247</f>
        <v>0</v>
      </c>
      <c r="G247" s="2" t="s">
        <v>623</v>
      </c>
      <c r="I247" s="2" t="s">
        <v>53</v>
      </c>
    </row>
    <row r="248" spans="1:9">
      <c r="A248" s="2" t="s">
        <v>621</v>
      </c>
      <c r="B248" s="2" t="s">
        <v>165</v>
      </c>
      <c r="C248" s="2" t="s">
        <v>96</v>
      </c>
      <c r="D248" s="2" t="s">
        <v>73</v>
      </c>
      <c r="E248" s="2">
        <f>SUMIF('03_LOTES'!B:B, F248, '03_LOTES'!E:E)</f>
        <v>0</v>
      </c>
      <c r="F248" s="2">
        <f>A248 &amp; " | " &amp; B248 &amp; " | " &amp; C248</f>
        <v>0</v>
      </c>
      <c r="G248" s="2" t="s">
        <v>624</v>
      </c>
      <c r="I248" s="2" t="s">
        <v>53</v>
      </c>
    </row>
    <row r="249" spans="1:9">
      <c r="A249" s="2" t="s">
        <v>625</v>
      </c>
      <c r="B249" s="2" t="s">
        <v>408</v>
      </c>
      <c r="C249" s="2" t="s">
        <v>96</v>
      </c>
      <c r="D249" s="2" t="s">
        <v>73</v>
      </c>
      <c r="E249" s="2">
        <f>SUMIF('03_LOTES'!B:B, F249, '03_LOTES'!E:E)</f>
        <v>0</v>
      </c>
      <c r="F249" s="2">
        <f>A249 &amp; " | " &amp; B249 &amp; " | " &amp; C249</f>
        <v>0</v>
      </c>
      <c r="G249" s="2" t="s">
        <v>626</v>
      </c>
      <c r="I249" s="2" t="s">
        <v>53</v>
      </c>
    </row>
    <row r="250" spans="1:9">
      <c r="A250" s="2" t="s">
        <v>627</v>
      </c>
      <c r="B250" s="2" t="s">
        <v>309</v>
      </c>
      <c r="C250" s="2" t="s">
        <v>628</v>
      </c>
      <c r="D250" s="2" t="s">
        <v>73</v>
      </c>
      <c r="E250" s="2">
        <f>SUMIF('03_LOTES'!B:B, F250, '03_LOTES'!E:E)</f>
        <v>0</v>
      </c>
      <c r="F250" s="2">
        <f>A250 &amp; " | " &amp; B250 &amp; " | " &amp; C250</f>
        <v>0</v>
      </c>
      <c r="G250" s="2" t="s">
        <v>629</v>
      </c>
      <c r="I250" s="2" t="s">
        <v>53</v>
      </c>
    </row>
    <row r="251" spans="1:9">
      <c r="A251" s="2" t="s">
        <v>630</v>
      </c>
      <c r="B251" s="2" t="s">
        <v>80</v>
      </c>
      <c r="C251" s="2" t="s">
        <v>96</v>
      </c>
      <c r="D251" s="2" t="s">
        <v>73</v>
      </c>
      <c r="E251" s="2">
        <f>SUMIF('03_LOTES'!B:B, F251, '03_LOTES'!E:E)</f>
        <v>0</v>
      </c>
      <c r="F251" s="2">
        <f>A251 &amp; " | " &amp; B251 &amp; " | " &amp; C251</f>
        <v>0</v>
      </c>
      <c r="G251" s="2" t="s">
        <v>631</v>
      </c>
      <c r="I251" s="2" t="s">
        <v>53</v>
      </c>
    </row>
    <row r="252" spans="1:9">
      <c r="A252" s="2" t="s">
        <v>632</v>
      </c>
      <c r="B252" s="2" t="s">
        <v>633</v>
      </c>
      <c r="C252" s="2" t="s">
        <v>96</v>
      </c>
      <c r="D252" s="2" t="s">
        <v>73</v>
      </c>
      <c r="E252" s="2">
        <f>SUMIF('03_LOTES'!B:B, F252, '03_LOTES'!E:E)</f>
        <v>0</v>
      </c>
      <c r="F252" s="2">
        <f>A252 &amp; " | " &amp; B252 &amp; " | " &amp; C252</f>
        <v>0</v>
      </c>
      <c r="G252" s="2" t="s">
        <v>634</v>
      </c>
      <c r="I252" s="2" t="s">
        <v>53</v>
      </c>
    </row>
    <row r="253" spans="1:9">
      <c r="A253" s="2" t="s">
        <v>635</v>
      </c>
      <c r="B253" s="2" t="s">
        <v>171</v>
      </c>
      <c r="C253" s="2" t="s">
        <v>77</v>
      </c>
      <c r="D253" s="2" t="s">
        <v>73</v>
      </c>
      <c r="E253" s="2">
        <f>SUMIF('03_LOTES'!B:B, F253, '03_LOTES'!E:E)</f>
        <v>0</v>
      </c>
      <c r="F253" s="2">
        <f>A253 &amp; " | " &amp; B253 &amp; " | " &amp; C253</f>
        <v>0</v>
      </c>
      <c r="G253" s="2" t="s">
        <v>636</v>
      </c>
      <c r="I253" s="2" t="s">
        <v>53</v>
      </c>
    </row>
    <row r="254" spans="1:9">
      <c r="A254" s="2" t="s">
        <v>637</v>
      </c>
      <c r="B254" s="2" t="s">
        <v>107</v>
      </c>
      <c r="C254" s="2" t="s">
        <v>96</v>
      </c>
      <c r="D254" s="2" t="s">
        <v>73</v>
      </c>
      <c r="E254" s="2">
        <f>SUMIF('03_LOTES'!B:B, F254, '03_LOTES'!E:E)</f>
        <v>0</v>
      </c>
      <c r="F254" s="2">
        <f>A254 &amp; " | " &amp; B254 &amp; " | " &amp; C254</f>
        <v>0</v>
      </c>
      <c r="G254" s="2" t="s">
        <v>638</v>
      </c>
      <c r="I254" s="2" t="s">
        <v>53</v>
      </c>
    </row>
    <row r="255" spans="1:9">
      <c r="A255" s="2" t="s">
        <v>639</v>
      </c>
      <c r="B255" s="2" t="s">
        <v>640</v>
      </c>
      <c r="C255" s="2" t="s">
        <v>238</v>
      </c>
      <c r="D255" s="2" t="s">
        <v>73</v>
      </c>
      <c r="E255" s="2">
        <f>SUMIF('03_LOTES'!B:B, F255, '03_LOTES'!E:E)</f>
        <v>0</v>
      </c>
      <c r="F255" s="2">
        <f>A255 &amp; " | " &amp; B255 &amp; " | " &amp; C255</f>
        <v>0</v>
      </c>
      <c r="G255" s="2" t="s">
        <v>641</v>
      </c>
      <c r="I255" s="2" t="s">
        <v>53</v>
      </c>
    </row>
    <row r="256" spans="1:9">
      <c r="A256" s="2" t="s">
        <v>642</v>
      </c>
      <c r="B256" s="2" t="s">
        <v>225</v>
      </c>
      <c r="C256" s="2" t="s">
        <v>219</v>
      </c>
      <c r="D256" s="2" t="s">
        <v>55</v>
      </c>
      <c r="E256" s="2">
        <f>SUMIF('03_LOTES'!B:B, F256, '03_LOTES'!E:E)</f>
        <v>0</v>
      </c>
      <c r="F256" s="2">
        <f>A256 &amp; " | " &amp; B256 &amp; " | " &amp; C256</f>
        <v>0</v>
      </c>
      <c r="G256" s="2" t="s">
        <v>643</v>
      </c>
      <c r="I256" s="2" t="s">
        <v>53</v>
      </c>
    </row>
    <row r="257" spans="1:9">
      <c r="A257" s="2" t="s">
        <v>644</v>
      </c>
      <c r="B257" s="2" t="s">
        <v>645</v>
      </c>
      <c r="C257" s="2" t="s">
        <v>96</v>
      </c>
      <c r="D257" s="2" t="s">
        <v>73</v>
      </c>
      <c r="E257" s="2">
        <f>SUMIF('03_LOTES'!B:B, F257, '03_LOTES'!E:E)</f>
        <v>0</v>
      </c>
      <c r="F257" s="2">
        <f>A257 &amp; " | " &amp; B257 &amp; " | " &amp; C257</f>
        <v>0</v>
      </c>
      <c r="G257" s="2" t="s">
        <v>646</v>
      </c>
      <c r="I257" s="2" t="s">
        <v>53</v>
      </c>
    </row>
    <row r="258" spans="1:9">
      <c r="A258" s="2" t="s">
        <v>647</v>
      </c>
      <c r="B258" s="2" t="s">
        <v>171</v>
      </c>
      <c r="C258" s="2" t="s">
        <v>96</v>
      </c>
      <c r="D258" s="2" t="s">
        <v>73</v>
      </c>
      <c r="E258" s="2">
        <f>SUMIF('03_LOTES'!B:B, F258, '03_LOTES'!E:E)</f>
        <v>0</v>
      </c>
      <c r="F258" s="2">
        <f>A258 &amp; " | " &amp; B258 &amp; " | " &amp; C258</f>
        <v>0</v>
      </c>
      <c r="G258" s="2" t="s">
        <v>648</v>
      </c>
      <c r="I258" s="2" t="s">
        <v>53</v>
      </c>
    </row>
    <row r="259" spans="1:9">
      <c r="A259" s="2" t="s">
        <v>647</v>
      </c>
      <c r="B259" s="2" t="s">
        <v>151</v>
      </c>
      <c r="C259" s="2" t="s">
        <v>96</v>
      </c>
      <c r="D259" s="2" t="s">
        <v>73</v>
      </c>
      <c r="E259" s="2">
        <f>SUMIF('03_LOTES'!B:B, F259, '03_LOTES'!E:E)</f>
        <v>0</v>
      </c>
      <c r="F259" s="2">
        <f>A259 &amp; " | " &amp; B259 &amp; " | " &amp; C259</f>
        <v>0</v>
      </c>
      <c r="G259" s="2" t="s">
        <v>649</v>
      </c>
      <c r="I259" s="2" t="s">
        <v>53</v>
      </c>
    </row>
    <row r="260" spans="1:9">
      <c r="A260" s="2" t="s">
        <v>650</v>
      </c>
      <c r="B260" s="2" t="s">
        <v>462</v>
      </c>
      <c r="C260" s="2" t="s">
        <v>96</v>
      </c>
      <c r="D260" s="2" t="s">
        <v>73</v>
      </c>
      <c r="E260" s="2">
        <f>SUMIF('03_LOTES'!B:B, F260, '03_LOTES'!E:E)</f>
        <v>0</v>
      </c>
      <c r="F260" s="2">
        <f>A260 &amp; " | " &amp; B260 &amp; " | " &amp; C260</f>
        <v>0</v>
      </c>
      <c r="G260" s="2" t="s">
        <v>651</v>
      </c>
      <c r="I260" s="2" t="s">
        <v>53</v>
      </c>
    </row>
    <row r="261" spans="1:9">
      <c r="A261" s="2" t="s">
        <v>652</v>
      </c>
      <c r="B261" s="2" t="s">
        <v>503</v>
      </c>
      <c r="C261" s="2" t="s">
        <v>83</v>
      </c>
      <c r="D261" s="2" t="s">
        <v>73</v>
      </c>
      <c r="E261" s="2">
        <f>SUMIF('03_LOTES'!B:B, F261, '03_LOTES'!E:E)</f>
        <v>0</v>
      </c>
      <c r="F261" s="2">
        <f>A261 &amp; " | " &amp; B261 &amp; " | " &amp; C261</f>
        <v>0</v>
      </c>
      <c r="G261" s="2" t="s">
        <v>653</v>
      </c>
      <c r="I261" s="2" t="s">
        <v>53</v>
      </c>
    </row>
    <row r="262" spans="1:9">
      <c r="A262" s="2" t="s">
        <v>654</v>
      </c>
      <c r="B262" s="2" t="s">
        <v>134</v>
      </c>
      <c r="C262" s="2" t="s">
        <v>96</v>
      </c>
      <c r="D262" s="2" t="s">
        <v>67</v>
      </c>
      <c r="E262" s="2">
        <f>SUMIF('03_LOTES'!B:B, F262, '03_LOTES'!E:E)</f>
        <v>0</v>
      </c>
      <c r="F262" s="2">
        <f>A262 &amp; " | " &amp; B262 &amp; " | " &amp; C262</f>
        <v>0</v>
      </c>
      <c r="G262" s="2" t="s">
        <v>655</v>
      </c>
      <c r="I262" s="2" t="s">
        <v>53</v>
      </c>
    </row>
    <row r="263" spans="1:9">
      <c r="A263" s="2" t="s">
        <v>656</v>
      </c>
      <c r="B263" s="2" t="s">
        <v>442</v>
      </c>
      <c r="C263" s="2" t="s">
        <v>77</v>
      </c>
      <c r="D263" s="2" t="s">
        <v>73</v>
      </c>
      <c r="E263" s="2">
        <f>SUMIF('03_LOTES'!B:B, F263, '03_LOTES'!E:E)</f>
        <v>0</v>
      </c>
      <c r="F263" s="2">
        <f>A263 &amp; " | " &amp; B263 &amp; " | " &amp; C263</f>
        <v>0</v>
      </c>
      <c r="G263" s="2" t="s">
        <v>657</v>
      </c>
      <c r="I263" s="2" t="s">
        <v>53</v>
      </c>
    </row>
    <row r="264" spans="1:9">
      <c r="A264" s="2" t="s">
        <v>656</v>
      </c>
      <c r="B264" s="2" t="s">
        <v>107</v>
      </c>
      <c r="C264" s="2" t="s">
        <v>77</v>
      </c>
      <c r="D264" s="2" t="s">
        <v>73</v>
      </c>
      <c r="E264" s="2">
        <f>SUMIF('03_LOTES'!B:B, F264, '03_LOTES'!E:E)</f>
        <v>0</v>
      </c>
      <c r="F264" s="2">
        <f>A264 &amp; " | " &amp; B264 &amp; " | " &amp; C264</f>
        <v>0</v>
      </c>
      <c r="G264" s="2" t="s">
        <v>658</v>
      </c>
      <c r="I264" s="2" t="s">
        <v>53</v>
      </c>
    </row>
    <row r="265" spans="1:9">
      <c r="A265" s="2" t="s">
        <v>659</v>
      </c>
      <c r="B265" s="2" t="s">
        <v>90</v>
      </c>
      <c r="C265" s="2" t="s">
        <v>660</v>
      </c>
      <c r="D265" s="2" t="s">
        <v>73</v>
      </c>
      <c r="E265" s="2">
        <f>SUMIF('03_LOTES'!B:B, F265, '03_LOTES'!E:E)</f>
        <v>0</v>
      </c>
      <c r="F265" s="2">
        <f>A265 &amp; " | " &amp; B265 &amp; " | " &amp; C265</f>
        <v>0</v>
      </c>
      <c r="G265" s="2" t="s">
        <v>661</v>
      </c>
      <c r="I265" s="2" t="s">
        <v>53</v>
      </c>
    </row>
    <row r="266" spans="1:9">
      <c r="A266" s="2" t="s">
        <v>662</v>
      </c>
      <c r="B266" s="2" t="s">
        <v>171</v>
      </c>
      <c r="C266" s="2" t="s">
        <v>148</v>
      </c>
      <c r="D266" s="2" t="s">
        <v>58</v>
      </c>
      <c r="E266" s="2">
        <f>SUMIF('03_LOTES'!B:B, F266, '03_LOTES'!E:E)</f>
        <v>0</v>
      </c>
      <c r="F266" s="2">
        <f>A266 &amp; " | " &amp; B266 &amp; " | " &amp; C266</f>
        <v>0</v>
      </c>
      <c r="G266" s="2" t="s">
        <v>663</v>
      </c>
      <c r="I266" s="2" t="s">
        <v>53</v>
      </c>
    </row>
    <row r="267" spans="1:9">
      <c r="A267" s="2" t="s">
        <v>664</v>
      </c>
      <c r="B267" s="2" t="s">
        <v>665</v>
      </c>
      <c r="C267" s="2" t="s">
        <v>83</v>
      </c>
      <c r="D267" s="2" t="s">
        <v>73</v>
      </c>
      <c r="E267" s="2">
        <f>SUMIF('03_LOTES'!B:B, F267, '03_LOTES'!E:E)</f>
        <v>0</v>
      </c>
      <c r="F267" s="2">
        <f>A267 &amp; " | " &amp; B267 &amp; " | " &amp; C267</f>
        <v>0</v>
      </c>
      <c r="G267" s="2" t="s">
        <v>666</v>
      </c>
      <c r="I267" s="2" t="s">
        <v>53</v>
      </c>
    </row>
    <row r="268" spans="1:9">
      <c r="A268" s="2" t="s">
        <v>667</v>
      </c>
      <c r="B268" s="2" t="s">
        <v>90</v>
      </c>
      <c r="C268" s="2" t="s">
        <v>77</v>
      </c>
      <c r="D268" s="2" t="s">
        <v>73</v>
      </c>
      <c r="E268" s="2">
        <f>SUMIF('03_LOTES'!B:B, F268, '03_LOTES'!E:E)</f>
        <v>0</v>
      </c>
      <c r="F268" s="2">
        <f>A268 &amp; " | " &amp; B268 &amp; " | " &amp; C268</f>
        <v>0</v>
      </c>
      <c r="G268" s="2" t="s">
        <v>668</v>
      </c>
      <c r="I268" s="2" t="s">
        <v>53</v>
      </c>
    </row>
    <row r="269" spans="1:9">
      <c r="A269" s="2" t="s">
        <v>669</v>
      </c>
      <c r="B269" s="2" t="s">
        <v>235</v>
      </c>
      <c r="C269" s="2" t="s">
        <v>96</v>
      </c>
      <c r="D269" s="2" t="s">
        <v>73</v>
      </c>
      <c r="E269" s="2">
        <f>SUMIF('03_LOTES'!B:B, F269, '03_LOTES'!E:E)</f>
        <v>0</v>
      </c>
      <c r="F269" s="2">
        <f>A269 &amp; " | " &amp; B269 &amp; " | " &amp; C269</f>
        <v>0</v>
      </c>
      <c r="G269" s="2" t="s">
        <v>670</v>
      </c>
      <c r="I269" s="2" t="s">
        <v>53</v>
      </c>
    </row>
    <row r="270" spans="1:9">
      <c r="A270" s="2" t="s">
        <v>671</v>
      </c>
      <c r="B270" s="2" t="s">
        <v>672</v>
      </c>
      <c r="C270" s="2" t="s">
        <v>77</v>
      </c>
      <c r="D270" s="2" t="s">
        <v>73</v>
      </c>
      <c r="E270" s="2">
        <f>SUMIF('03_LOTES'!B:B, F270, '03_LOTES'!E:E)</f>
        <v>0</v>
      </c>
      <c r="F270" s="2">
        <f>A270 &amp; " | " &amp; B270 &amp; " | " &amp; C270</f>
        <v>0</v>
      </c>
      <c r="G270" s="2" t="s">
        <v>673</v>
      </c>
      <c r="I270" s="2" t="s">
        <v>53</v>
      </c>
    </row>
    <row r="271" spans="1:9">
      <c r="A271" s="2" t="s">
        <v>671</v>
      </c>
      <c r="B271" s="2" t="s">
        <v>674</v>
      </c>
      <c r="C271" s="2" t="s">
        <v>96</v>
      </c>
      <c r="D271" s="2" t="s">
        <v>73</v>
      </c>
      <c r="E271" s="2">
        <f>SUMIF('03_LOTES'!B:B, F271, '03_LOTES'!E:E)</f>
        <v>0</v>
      </c>
      <c r="F271" s="2">
        <f>A271 &amp; " | " &amp; B271 &amp; " | " &amp; C271</f>
        <v>0</v>
      </c>
      <c r="G271" s="2" t="s">
        <v>675</v>
      </c>
      <c r="I271" s="2" t="s">
        <v>53</v>
      </c>
    </row>
    <row r="272" spans="1:9">
      <c r="A272" s="2" t="s">
        <v>676</v>
      </c>
      <c r="B272" s="2" t="s">
        <v>677</v>
      </c>
      <c r="C272" s="2" t="s">
        <v>77</v>
      </c>
      <c r="D272" s="2" t="s">
        <v>73</v>
      </c>
      <c r="E272" s="2">
        <f>SUMIF('03_LOTES'!B:B, F272, '03_LOTES'!E:E)</f>
        <v>0</v>
      </c>
      <c r="F272" s="2">
        <f>A272 &amp; " | " &amp; B272 &amp; " | " &amp; C272</f>
        <v>0</v>
      </c>
      <c r="G272" s="2" t="s">
        <v>678</v>
      </c>
      <c r="I272" s="2" t="s">
        <v>53</v>
      </c>
    </row>
    <row r="273" spans="1:9">
      <c r="A273" s="2" t="s">
        <v>679</v>
      </c>
      <c r="B273" s="2" t="s">
        <v>680</v>
      </c>
      <c r="C273" s="2" t="s">
        <v>681</v>
      </c>
      <c r="D273" s="2" t="s">
        <v>55</v>
      </c>
      <c r="E273" s="2">
        <f>SUMIF('03_LOTES'!B:B, F273, '03_LOTES'!E:E)</f>
        <v>0</v>
      </c>
      <c r="F273" s="2">
        <f>A273 &amp; " | " &amp; B273 &amp; " | " &amp; C273</f>
        <v>0</v>
      </c>
      <c r="G273" s="2" t="s">
        <v>682</v>
      </c>
      <c r="I273" s="2" t="s">
        <v>53</v>
      </c>
    </row>
    <row r="274" spans="1:9">
      <c r="A274" s="2" t="s">
        <v>683</v>
      </c>
      <c r="B274" s="2" t="s">
        <v>112</v>
      </c>
      <c r="C274" s="2" t="s">
        <v>219</v>
      </c>
      <c r="D274" s="2" t="s">
        <v>55</v>
      </c>
      <c r="E274" s="2">
        <f>SUMIF('03_LOTES'!B:B, F274, '03_LOTES'!E:E)</f>
        <v>0</v>
      </c>
      <c r="F274" s="2">
        <f>A274 &amp; " | " &amp; B274 &amp; " | " &amp; C274</f>
        <v>0</v>
      </c>
      <c r="G274" s="2" t="s">
        <v>684</v>
      </c>
      <c r="I274" s="2" t="s">
        <v>53</v>
      </c>
    </row>
    <row r="275" spans="1:9">
      <c r="A275" s="2" t="s">
        <v>685</v>
      </c>
      <c r="B275" s="2" t="s">
        <v>388</v>
      </c>
      <c r="C275" s="2" t="s">
        <v>105</v>
      </c>
      <c r="D275" s="2" t="s">
        <v>55</v>
      </c>
      <c r="E275" s="2">
        <f>SUMIF('03_LOTES'!B:B, F275, '03_LOTES'!E:E)</f>
        <v>0</v>
      </c>
      <c r="F275" s="2">
        <f>A275 &amp; " | " &amp; B275 &amp; " | " &amp; C275</f>
        <v>0</v>
      </c>
      <c r="G275" s="2" t="s">
        <v>686</v>
      </c>
      <c r="I275" s="2" t="s">
        <v>53</v>
      </c>
    </row>
    <row r="276" spans="1:9">
      <c r="A276" s="2" t="s">
        <v>687</v>
      </c>
      <c r="B276" s="2" t="s">
        <v>216</v>
      </c>
      <c r="C276" s="2" t="s">
        <v>96</v>
      </c>
      <c r="D276" s="2" t="s">
        <v>55</v>
      </c>
      <c r="E276" s="2">
        <f>SUMIF('03_LOTES'!B:B, F276, '03_LOTES'!E:E)</f>
        <v>0</v>
      </c>
      <c r="F276" s="2">
        <f>A276 &amp; " | " &amp; B276 &amp; " | " &amp; C276</f>
        <v>0</v>
      </c>
      <c r="G276" s="2" t="s">
        <v>688</v>
      </c>
      <c r="I276" s="2" t="s">
        <v>53</v>
      </c>
    </row>
    <row r="277" spans="1:9">
      <c r="A277" s="2" t="s">
        <v>687</v>
      </c>
      <c r="B277" s="2" t="s">
        <v>689</v>
      </c>
      <c r="C277" s="2" t="s">
        <v>96</v>
      </c>
      <c r="D277" s="2" t="s">
        <v>55</v>
      </c>
      <c r="E277" s="2">
        <f>SUMIF('03_LOTES'!B:B, F277, '03_LOTES'!E:E)</f>
        <v>0</v>
      </c>
      <c r="F277" s="2">
        <f>A277 &amp; " | " &amp; B277 &amp; " | " &amp; C277</f>
        <v>0</v>
      </c>
      <c r="G277" s="2" t="s">
        <v>690</v>
      </c>
      <c r="I277" s="2" t="s">
        <v>53</v>
      </c>
    </row>
    <row r="278" spans="1:9">
      <c r="A278" s="2" t="s">
        <v>687</v>
      </c>
      <c r="B278" s="2" t="s">
        <v>691</v>
      </c>
      <c r="C278" s="2" t="s">
        <v>96</v>
      </c>
      <c r="D278" s="2" t="s">
        <v>55</v>
      </c>
      <c r="E278" s="2">
        <f>SUMIF('03_LOTES'!B:B, F278, '03_LOTES'!E:E)</f>
        <v>0</v>
      </c>
      <c r="F278" s="2">
        <f>A278 &amp; " | " &amp; B278 &amp; " | " &amp; C278</f>
        <v>0</v>
      </c>
      <c r="G278" s="2" t="s">
        <v>692</v>
      </c>
      <c r="I278" s="2" t="s">
        <v>53</v>
      </c>
    </row>
    <row r="279" spans="1:9">
      <c r="A279" s="2" t="s">
        <v>693</v>
      </c>
      <c r="B279" s="2" t="s">
        <v>368</v>
      </c>
      <c r="C279" s="2" t="s">
        <v>77</v>
      </c>
      <c r="D279" s="2" t="s">
        <v>73</v>
      </c>
      <c r="E279" s="2">
        <f>SUMIF('03_LOTES'!B:B, F279, '03_LOTES'!E:E)</f>
        <v>0</v>
      </c>
      <c r="F279" s="2">
        <f>A279 &amp; " | " &amp; B279 &amp; " | " &amp; C279</f>
        <v>0</v>
      </c>
      <c r="G279" s="2" t="s">
        <v>694</v>
      </c>
      <c r="I279" s="2" t="s">
        <v>53</v>
      </c>
    </row>
    <row r="280" spans="1:9">
      <c r="A280" s="2" t="s">
        <v>695</v>
      </c>
      <c r="B280" s="2" t="s">
        <v>112</v>
      </c>
      <c r="C280" s="2" t="s">
        <v>77</v>
      </c>
      <c r="D280" s="2" t="s">
        <v>73</v>
      </c>
      <c r="E280" s="2">
        <f>SUMIF('03_LOTES'!B:B, F280, '03_LOTES'!E:E)</f>
        <v>0</v>
      </c>
      <c r="F280" s="2">
        <f>A280 &amp; " | " &amp; B280 &amp; " | " &amp; C280</f>
        <v>0</v>
      </c>
      <c r="G280" s="2" t="s">
        <v>696</v>
      </c>
      <c r="I280" s="2" t="s">
        <v>53</v>
      </c>
    </row>
    <row r="281" spans="1:9">
      <c r="A281" s="2" t="s">
        <v>697</v>
      </c>
      <c r="B281" s="2" t="s">
        <v>225</v>
      </c>
      <c r="C281" s="2" t="s">
        <v>77</v>
      </c>
      <c r="D281" s="2" t="s">
        <v>73</v>
      </c>
      <c r="E281" s="2">
        <f>SUMIF('03_LOTES'!B:B, F281, '03_LOTES'!E:E)</f>
        <v>0</v>
      </c>
      <c r="F281" s="2">
        <f>A281 &amp; " | " &amp; B281 &amp; " | " &amp; C281</f>
        <v>0</v>
      </c>
      <c r="G281" s="2" t="s">
        <v>698</v>
      </c>
      <c r="I281" s="2" t="s">
        <v>53</v>
      </c>
    </row>
    <row r="282" spans="1:9">
      <c r="A282" s="2" t="s">
        <v>697</v>
      </c>
      <c r="B282" s="2" t="s">
        <v>168</v>
      </c>
      <c r="C282" s="2" t="s">
        <v>77</v>
      </c>
      <c r="D282" s="2" t="s">
        <v>73</v>
      </c>
      <c r="E282" s="2">
        <f>SUMIF('03_LOTES'!B:B, F282, '03_LOTES'!E:E)</f>
        <v>0</v>
      </c>
      <c r="F282" s="2">
        <f>A282 &amp; " | " &amp; B282 &amp; " | " &amp; C282</f>
        <v>0</v>
      </c>
      <c r="G282" s="2" t="s">
        <v>699</v>
      </c>
      <c r="I282" s="2" t="s">
        <v>53</v>
      </c>
    </row>
    <row r="283" spans="1:9">
      <c r="A283" s="2" t="s">
        <v>700</v>
      </c>
      <c r="B283" s="2" t="s">
        <v>701</v>
      </c>
      <c r="C283" s="2" t="s">
        <v>77</v>
      </c>
      <c r="D283" s="2" t="s">
        <v>73</v>
      </c>
      <c r="E283" s="2">
        <f>SUMIF('03_LOTES'!B:B, F283, '03_LOTES'!E:E)</f>
        <v>0</v>
      </c>
      <c r="F283" s="2">
        <f>A283 &amp; " | " &amp; B283 &amp; " | " &amp; C283</f>
        <v>0</v>
      </c>
      <c r="G283" s="2" t="s">
        <v>702</v>
      </c>
      <c r="I283" s="2" t="s">
        <v>53</v>
      </c>
    </row>
    <row r="284" spans="1:9">
      <c r="A284" s="2" t="s">
        <v>703</v>
      </c>
      <c r="B284" s="2" t="s">
        <v>704</v>
      </c>
      <c r="C284" s="2" t="s">
        <v>77</v>
      </c>
      <c r="D284" s="2" t="s">
        <v>73</v>
      </c>
      <c r="E284" s="2">
        <f>SUMIF('03_LOTES'!B:B, F284, '03_LOTES'!E:E)</f>
        <v>0</v>
      </c>
      <c r="F284" s="2">
        <f>A284 &amp; " | " &amp; B284 &amp; " | " &amp; C284</f>
        <v>0</v>
      </c>
      <c r="G284" s="2" t="s">
        <v>705</v>
      </c>
      <c r="I284" s="2" t="s">
        <v>53</v>
      </c>
    </row>
    <row r="285" spans="1:9">
      <c r="A285" s="2" t="s">
        <v>706</v>
      </c>
      <c r="B285" s="2" t="s">
        <v>707</v>
      </c>
      <c r="C285" s="2" t="s">
        <v>96</v>
      </c>
      <c r="D285" s="2" t="s">
        <v>73</v>
      </c>
      <c r="E285" s="2">
        <f>SUMIF('03_LOTES'!B:B, F285, '03_LOTES'!E:E)</f>
        <v>0</v>
      </c>
      <c r="F285" s="2">
        <f>A285 &amp; " | " &amp; B285 &amp; " | " &amp; C285</f>
        <v>0</v>
      </c>
      <c r="G285" s="2" t="s">
        <v>708</v>
      </c>
      <c r="I285" s="2" t="s">
        <v>53</v>
      </c>
    </row>
    <row r="286" spans="1:9">
      <c r="A286" s="2" t="s">
        <v>709</v>
      </c>
      <c r="B286" s="2" t="s">
        <v>174</v>
      </c>
      <c r="C286" s="2" t="s">
        <v>96</v>
      </c>
      <c r="D286" s="2" t="s">
        <v>73</v>
      </c>
      <c r="E286" s="2">
        <f>SUMIF('03_LOTES'!B:B, F286, '03_LOTES'!E:E)</f>
        <v>0</v>
      </c>
      <c r="F286" s="2">
        <f>A286 &amp; " | " &amp; B286 &amp; " | " &amp; C286</f>
        <v>0</v>
      </c>
      <c r="G286" s="2" t="s">
        <v>710</v>
      </c>
      <c r="I286" s="2" t="s">
        <v>53</v>
      </c>
    </row>
    <row r="287" spans="1:9">
      <c r="A287" s="2" t="s">
        <v>711</v>
      </c>
      <c r="B287" s="2" t="s">
        <v>712</v>
      </c>
      <c r="C287" s="2" t="s">
        <v>96</v>
      </c>
      <c r="D287" s="2" t="s">
        <v>73</v>
      </c>
      <c r="E287" s="2">
        <f>SUMIF('03_LOTES'!B:B, F287, '03_LOTES'!E:E)</f>
        <v>0</v>
      </c>
      <c r="F287" s="2">
        <f>A287 &amp; " | " &amp; B287 &amp; " | " &amp; C287</f>
        <v>0</v>
      </c>
      <c r="G287" s="2" t="s">
        <v>713</v>
      </c>
      <c r="I287" s="2" t="s">
        <v>53</v>
      </c>
    </row>
    <row r="288" spans="1:9">
      <c r="A288" s="2" t="s">
        <v>714</v>
      </c>
      <c r="B288" s="2" t="s">
        <v>715</v>
      </c>
      <c r="C288" s="2" t="s">
        <v>77</v>
      </c>
      <c r="D288" s="2" t="s">
        <v>73</v>
      </c>
      <c r="E288" s="2">
        <f>SUMIF('03_LOTES'!B:B, F288, '03_LOTES'!E:E)</f>
        <v>0</v>
      </c>
      <c r="F288" s="2">
        <f>A288 &amp; " | " &amp; B288 &amp; " | " &amp; C288</f>
        <v>0</v>
      </c>
      <c r="G288" s="2" t="s">
        <v>716</v>
      </c>
      <c r="I288" s="2" t="s">
        <v>53</v>
      </c>
    </row>
    <row r="289" spans="1:9">
      <c r="A289" s="2" t="s">
        <v>714</v>
      </c>
      <c r="B289" s="2" t="s">
        <v>717</v>
      </c>
      <c r="C289" s="2" t="s">
        <v>77</v>
      </c>
      <c r="D289" s="2" t="s">
        <v>73</v>
      </c>
      <c r="E289" s="2">
        <f>SUMIF('03_LOTES'!B:B, F289, '03_LOTES'!E:E)</f>
        <v>0</v>
      </c>
      <c r="F289" s="2">
        <f>A289 &amp; " | " &amp; B289 &amp; " | " &amp; C289</f>
        <v>0</v>
      </c>
      <c r="G289" s="2" t="s">
        <v>718</v>
      </c>
      <c r="I289" s="2" t="s">
        <v>53</v>
      </c>
    </row>
    <row r="290" spans="1:9">
      <c r="A290" s="2" t="s">
        <v>714</v>
      </c>
      <c r="B290" s="2" t="s">
        <v>715</v>
      </c>
      <c r="C290" s="2" t="s">
        <v>497</v>
      </c>
      <c r="D290" s="2" t="s">
        <v>73</v>
      </c>
      <c r="E290" s="2">
        <f>SUMIF('03_LOTES'!B:B, F290, '03_LOTES'!E:E)</f>
        <v>0</v>
      </c>
      <c r="F290" s="2">
        <f>A290 &amp; " | " &amp; B290 &amp; " | " &amp; C290</f>
        <v>0</v>
      </c>
      <c r="G290" s="2" t="s">
        <v>719</v>
      </c>
      <c r="I290" s="2" t="s">
        <v>53</v>
      </c>
    </row>
    <row r="291" spans="1:9">
      <c r="A291" s="2" t="s">
        <v>720</v>
      </c>
      <c r="B291" s="2" t="s">
        <v>102</v>
      </c>
      <c r="C291" s="2" t="s">
        <v>77</v>
      </c>
      <c r="D291" s="2" t="s">
        <v>73</v>
      </c>
      <c r="E291" s="2">
        <f>SUMIF('03_LOTES'!B:B, F291, '03_LOTES'!E:E)</f>
        <v>0</v>
      </c>
      <c r="F291" s="2">
        <f>A291 &amp; " | " &amp; B291 &amp; " | " &amp; C291</f>
        <v>0</v>
      </c>
      <c r="G291" s="2" t="s">
        <v>721</v>
      </c>
      <c r="I291" s="2" t="s">
        <v>53</v>
      </c>
    </row>
    <row r="292" spans="1:9">
      <c r="A292" s="2" t="s">
        <v>722</v>
      </c>
      <c r="B292" s="2" t="s">
        <v>723</v>
      </c>
      <c r="C292" s="2" t="s">
        <v>96</v>
      </c>
      <c r="D292" s="2" t="s">
        <v>73</v>
      </c>
      <c r="E292" s="2">
        <f>SUMIF('03_LOTES'!B:B, F292, '03_LOTES'!E:E)</f>
        <v>0</v>
      </c>
      <c r="F292" s="2">
        <f>A292 &amp; " | " &amp; B292 &amp; " | " &amp; C292</f>
        <v>0</v>
      </c>
      <c r="G292" s="2" t="s">
        <v>724</v>
      </c>
      <c r="I292" s="2" t="s">
        <v>53</v>
      </c>
    </row>
    <row r="293" spans="1:9">
      <c r="A293" s="2" t="s">
        <v>725</v>
      </c>
      <c r="B293" s="2" t="s">
        <v>90</v>
      </c>
      <c r="C293" s="2" t="s">
        <v>138</v>
      </c>
      <c r="D293" s="2" t="s">
        <v>73</v>
      </c>
      <c r="E293" s="2">
        <f>SUMIF('03_LOTES'!B:B, F293, '03_LOTES'!E:E)</f>
        <v>0</v>
      </c>
      <c r="F293" s="2">
        <f>A293 &amp; " | " &amp; B293 &amp; " | " &amp; C293</f>
        <v>0</v>
      </c>
      <c r="G293" s="2" t="s">
        <v>726</v>
      </c>
      <c r="I293" s="2" t="s">
        <v>53</v>
      </c>
    </row>
    <row r="294" spans="1:9">
      <c r="A294" s="2" t="s">
        <v>727</v>
      </c>
      <c r="B294" s="2" t="s">
        <v>232</v>
      </c>
      <c r="C294" s="2" t="s">
        <v>96</v>
      </c>
      <c r="D294" s="2" t="s">
        <v>73</v>
      </c>
      <c r="E294" s="2">
        <f>SUMIF('03_LOTES'!B:B, F294, '03_LOTES'!E:E)</f>
        <v>0</v>
      </c>
      <c r="F294" s="2">
        <f>A294 &amp; " | " &amp; B294 &amp; " | " &amp; C294</f>
        <v>0</v>
      </c>
      <c r="G294" s="2" t="s">
        <v>728</v>
      </c>
      <c r="I294" s="2" t="s">
        <v>53</v>
      </c>
    </row>
    <row r="295" spans="1:9">
      <c r="A295" s="2" t="s">
        <v>729</v>
      </c>
      <c r="B295" s="2" t="s">
        <v>80</v>
      </c>
      <c r="C295" s="2" t="s">
        <v>77</v>
      </c>
      <c r="D295" s="2" t="s">
        <v>73</v>
      </c>
      <c r="E295" s="2">
        <f>SUMIF('03_LOTES'!B:B, F295, '03_LOTES'!E:E)</f>
        <v>0</v>
      </c>
      <c r="F295" s="2">
        <f>A295 &amp; " | " &amp; B295 &amp; " | " &amp; C295</f>
        <v>0</v>
      </c>
      <c r="G295" s="2" t="s">
        <v>730</v>
      </c>
      <c r="I295" s="2" t="s">
        <v>53</v>
      </c>
    </row>
    <row r="296" spans="1:9">
      <c r="A296" s="2" t="s">
        <v>731</v>
      </c>
      <c r="B296" s="2" t="s">
        <v>382</v>
      </c>
      <c r="C296" s="2" t="s">
        <v>96</v>
      </c>
      <c r="D296" s="2" t="s">
        <v>73</v>
      </c>
      <c r="E296" s="2">
        <f>SUMIF('03_LOTES'!B:B, F296, '03_LOTES'!E:E)</f>
        <v>0</v>
      </c>
      <c r="F296" s="2">
        <f>A296 &amp; " | " &amp; B296 &amp; " | " &amp; C296</f>
        <v>0</v>
      </c>
      <c r="G296" s="2" t="s">
        <v>732</v>
      </c>
      <c r="I296" s="2" t="s">
        <v>53</v>
      </c>
    </row>
    <row r="297" spans="1:9">
      <c r="A297" s="2" t="s">
        <v>733</v>
      </c>
      <c r="B297" s="2" t="s">
        <v>734</v>
      </c>
      <c r="C297" s="2" t="s">
        <v>96</v>
      </c>
      <c r="D297" s="2" t="s">
        <v>73</v>
      </c>
      <c r="E297" s="2">
        <f>SUMIF('03_LOTES'!B:B, F297, '03_LOTES'!E:E)</f>
        <v>0</v>
      </c>
      <c r="F297" s="2">
        <f>A297 &amp; " | " &amp; B297 &amp; " | " &amp; C297</f>
        <v>0</v>
      </c>
      <c r="G297" s="2" t="s">
        <v>735</v>
      </c>
      <c r="I297" s="2" t="s">
        <v>53</v>
      </c>
    </row>
    <row r="298" spans="1:9">
      <c r="A298" s="2" t="s">
        <v>736</v>
      </c>
      <c r="B298" s="2" t="s">
        <v>734</v>
      </c>
      <c r="C298" s="2" t="s">
        <v>96</v>
      </c>
      <c r="D298" s="2" t="s">
        <v>73</v>
      </c>
      <c r="E298" s="2">
        <f>SUMIF('03_LOTES'!B:B, F298, '03_LOTES'!E:E)</f>
        <v>0</v>
      </c>
      <c r="F298" s="2">
        <f>A298 &amp; " | " &amp; B298 &amp; " | " &amp; C298</f>
        <v>0</v>
      </c>
      <c r="G298" s="2" t="s">
        <v>737</v>
      </c>
      <c r="I298" s="2" t="s">
        <v>53</v>
      </c>
    </row>
    <row r="299" spans="1:9">
      <c r="A299" s="2" t="s">
        <v>738</v>
      </c>
      <c r="B299" s="2" t="s">
        <v>107</v>
      </c>
      <c r="C299" s="2" t="s">
        <v>739</v>
      </c>
      <c r="D299" s="2" t="s">
        <v>73</v>
      </c>
      <c r="E299" s="2">
        <f>SUMIF('03_LOTES'!B:B, F299, '03_LOTES'!E:E)</f>
        <v>0</v>
      </c>
      <c r="F299" s="2">
        <f>A299 &amp; " | " &amp; B299 &amp; " | " &amp; C299</f>
        <v>0</v>
      </c>
      <c r="G299" s="2" t="s">
        <v>740</v>
      </c>
      <c r="I299" s="2" t="s">
        <v>53</v>
      </c>
    </row>
    <row r="300" spans="1:9">
      <c r="A300" s="2" t="s">
        <v>741</v>
      </c>
      <c r="B300" s="2" t="s">
        <v>165</v>
      </c>
      <c r="C300" s="2" t="s">
        <v>96</v>
      </c>
      <c r="D300" s="2" t="s">
        <v>73</v>
      </c>
      <c r="E300" s="2">
        <f>SUMIF('03_LOTES'!B:B, F300, '03_LOTES'!E:E)</f>
        <v>0</v>
      </c>
      <c r="F300" s="2">
        <f>A300 &amp; " | " &amp; B300 &amp; " | " &amp; C300</f>
        <v>0</v>
      </c>
      <c r="G300" s="2" t="s">
        <v>742</v>
      </c>
      <c r="I300" s="2" t="s">
        <v>53</v>
      </c>
    </row>
    <row r="301" spans="1:9">
      <c r="A301" s="2" t="s">
        <v>741</v>
      </c>
      <c r="B301" s="2" t="s">
        <v>225</v>
      </c>
      <c r="C301" s="2" t="s">
        <v>219</v>
      </c>
      <c r="D301" s="2" t="s">
        <v>73</v>
      </c>
      <c r="E301" s="2">
        <f>SUMIF('03_LOTES'!B:B, F301, '03_LOTES'!E:E)</f>
        <v>0</v>
      </c>
      <c r="F301" s="2">
        <f>A301 &amp; " | " &amp; B301 &amp; " | " &amp; C301</f>
        <v>0</v>
      </c>
      <c r="G301" s="2" t="s">
        <v>743</v>
      </c>
      <c r="I301" s="2" t="s">
        <v>53</v>
      </c>
    </row>
    <row r="302" spans="1:9">
      <c r="A302" s="2" t="s">
        <v>744</v>
      </c>
      <c r="B302" s="2" t="s">
        <v>225</v>
      </c>
      <c r="C302" s="2" t="s">
        <v>77</v>
      </c>
      <c r="D302" s="2" t="s">
        <v>73</v>
      </c>
      <c r="E302" s="2">
        <f>SUMIF('03_LOTES'!B:B, F302, '03_LOTES'!E:E)</f>
        <v>0</v>
      </c>
      <c r="F302" s="2">
        <f>A302 &amp; " | " &amp; B302 &amp; " | " &amp; C302</f>
        <v>0</v>
      </c>
      <c r="G302" s="2" t="s">
        <v>745</v>
      </c>
      <c r="I302" s="2" t="s">
        <v>53</v>
      </c>
    </row>
    <row r="303" spans="1:9">
      <c r="A303" s="2" t="s">
        <v>744</v>
      </c>
      <c r="B303" s="2" t="s">
        <v>242</v>
      </c>
      <c r="C303" s="2" t="s">
        <v>746</v>
      </c>
      <c r="D303" s="2" t="s">
        <v>73</v>
      </c>
      <c r="E303" s="2">
        <f>SUMIF('03_LOTES'!B:B, F303, '03_LOTES'!E:E)</f>
        <v>0</v>
      </c>
      <c r="F303" s="2">
        <f>A303 &amp; " | " &amp; B303 &amp; " | " &amp; C303</f>
        <v>0</v>
      </c>
      <c r="G303" s="2" t="s">
        <v>747</v>
      </c>
      <c r="I303" s="2" t="s">
        <v>53</v>
      </c>
    </row>
    <row r="304" spans="1:9">
      <c r="A304" s="2" t="s">
        <v>744</v>
      </c>
      <c r="B304" s="2" t="s">
        <v>408</v>
      </c>
      <c r="C304" s="2" t="s">
        <v>96</v>
      </c>
      <c r="D304" s="2" t="s">
        <v>73</v>
      </c>
      <c r="E304" s="2">
        <f>SUMIF('03_LOTES'!B:B, F304, '03_LOTES'!E:E)</f>
        <v>0</v>
      </c>
      <c r="F304" s="2">
        <f>A304 &amp; " | " &amp; B304 &amp; " | " &amp; C304</f>
        <v>0</v>
      </c>
      <c r="G304" s="2" t="s">
        <v>748</v>
      </c>
      <c r="I304" s="2" t="s">
        <v>53</v>
      </c>
    </row>
    <row r="305" spans="1:9">
      <c r="A305" s="2" t="s">
        <v>749</v>
      </c>
      <c r="B305" s="2" t="s">
        <v>107</v>
      </c>
      <c r="C305" s="2" t="s">
        <v>219</v>
      </c>
      <c r="D305" s="2" t="s">
        <v>73</v>
      </c>
      <c r="E305" s="2">
        <f>SUMIF('03_LOTES'!B:B, F305, '03_LOTES'!E:E)</f>
        <v>0</v>
      </c>
      <c r="F305" s="2">
        <f>A305 &amp; " | " &amp; B305 &amp; " | " &amp; C305</f>
        <v>0</v>
      </c>
      <c r="G305" s="2" t="s">
        <v>750</v>
      </c>
      <c r="I305" s="2" t="s">
        <v>53</v>
      </c>
    </row>
    <row r="306" spans="1:9">
      <c r="A306" s="2" t="s">
        <v>751</v>
      </c>
      <c r="B306" s="2" t="s">
        <v>752</v>
      </c>
      <c r="C306" s="2" t="s">
        <v>96</v>
      </c>
      <c r="D306" s="2" t="s">
        <v>73</v>
      </c>
      <c r="E306" s="2">
        <f>SUMIF('03_LOTES'!B:B, F306, '03_LOTES'!E:E)</f>
        <v>0</v>
      </c>
      <c r="F306" s="2">
        <f>A306 &amp; " | " &amp; B306 &amp; " | " &amp; C306</f>
        <v>0</v>
      </c>
      <c r="G306" s="2" t="s">
        <v>753</v>
      </c>
      <c r="I306" s="2" t="s">
        <v>53</v>
      </c>
    </row>
    <row r="307" spans="1:9">
      <c r="A307" s="2" t="s">
        <v>754</v>
      </c>
      <c r="B307" s="2" t="s">
        <v>752</v>
      </c>
      <c r="C307" s="2" t="s">
        <v>96</v>
      </c>
      <c r="D307" s="2" t="s">
        <v>73</v>
      </c>
      <c r="E307" s="2">
        <f>SUMIF('03_LOTES'!B:B, F307, '03_LOTES'!E:E)</f>
        <v>0</v>
      </c>
      <c r="F307" s="2">
        <f>A307 &amp; " | " &amp; B307 &amp; " | " &amp; C307</f>
        <v>0</v>
      </c>
      <c r="G307" s="2" t="s">
        <v>755</v>
      </c>
      <c r="I307" s="2" t="s">
        <v>53</v>
      </c>
    </row>
    <row r="308" spans="1:9">
      <c r="A308" s="2" t="s">
        <v>756</v>
      </c>
      <c r="B308" s="2" t="s">
        <v>90</v>
      </c>
      <c r="C308" s="2" t="s">
        <v>757</v>
      </c>
      <c r="D308" s="2" t="s">
        <v>73</v>
      </c>
      <c r="E308" s="2">
        <f>SUMIF('03_LOTES'!B:B, F308, '03_LOTES'!E:E)</f>
        <v>0</v>
      </c>
      <c r="F308" s="2">
        <f>A308 &amp; " | " &amp; B308 &amp; " | " &amp; C308</f>
        <v>0</v>
      </c>
      <c r="G308" s="2" t="s">
        <v>758</v>
      </c>
      <c r="I308" s="2" t="s">
        <v>53</v>
      </c>
    </row>
    <row r="309" spans="1:9">
      <c r="A309" s="2" t="s">
        <v>759</v>
      </c>
      <c r="B309" s="2" t="s">
        <v>174</v>
      </c>
      <c r="C309" s="2" t="s">
        <v>96</v>
      </c>
      <c r="D309" s="2" t="s">
        <v>73</v>
      </c>
      <c r="E309" s="2">
        <f>SUMIF('03_LOTES'!B:B, F309, '03_LOTES'!E:E)</f>
        <v>0</v>
      </c>
      <c r="F309" s="2">
        <f>A309 &amp; " | " &amp; B309 &amp; " | " &amp; C309</f>
        <v>0</v>
      </c>
      <c r="G309" s="2" t="s">
        <v>760</v>
      </c>
      <c r="I309" s="2" t="s">
        <v>53</v>
      </c>
    </row>
    <row r="310" spans="1:9">
      <c r="A310" s="2" t="s">
        <v>761</v>
      </c>
      <c r="B310" s="2" t="s">
        <v>762</v>
      </c>
      <c r="C310" s="2" t="s">
        <v>96</v>
      </c>
      <c r="D310" s="2" t="s">
        <v>73</v>
      </c>
      <c r="E310" s="2">
        <f>SUMIF('03_LOTES'!B:B, F310, '03_LOTES'!E:E)</f>
        <v>0</v>
      </c>
      <c r="F310" s="2">
        <f>A310 &amp; " | " &amp; B310 &amp; " | " &amp; C310</f>
        <v>0</v>
      </c>
      <c r="G310" s="2" t="s">
        <v>763</v>
      </c>
      <c r="I310" s="2" t="s">
        <v>53</v>
      </c>
    </row>
    <row r="311" spans="1:9">
      <c r="A311" s="2" t="s">
        <v>764</v>
      </c>
      <c r="B311" s="2" t="s">
        <v>309</v>
      </c>
      <c r="C311" s="2" t="s">
        <v>77</v>
      </c>
      <c r="D311" s="2" t="s">
        <v>73</v>
      </c>
      <c r="E311" s="2">
        <f>SUMIF('03_LOTES'!B:B, F311, '03_LOTES'!E:E)</f>
        <v>0</v>
      </c>
      <c r="F311" s="2">
        <f>A311 &amp; " | " &amp; B311 &amp; " | " &amp; C311</f>
        <v>0</v>
      </c>
      <c r="G311" s="2" t="s">
        <v>765</v>
      </c>
      <c r="I311" s="2" t="s">
        <v>53</v>
      </c>
    </row>
    <row r="312" spans="1:9">
      <c r="A312" s="2" t="s">
        <v>766</v>
      </c>
      <c r="B312" s="2" t="s">
        <v>147</v>
      </c>
      <c r="C312" s="2" t="s">
        <v>83</v>
      </c>
      <c r="D312" s="2" t="s">
        <v>73</v>
      </c>
      <c r="E312" s="2">
        <f>SUMIF('03_LOTES'!B:B, F312, '03_LOTES'!E:E)</f>
        <v>0</v>
      </c>
      <c r="F312" s="2">
        <f>A312 &amp; " | " &amp; B312 &amp; " | " &amp; C312</f>
        <v>0</v>
      </c>
      <c r="G312" s="2" t="s">
        <v>767</v>
      </c>
      <c r="I312" s="2" t="s">
        <v>53</v>
      </c>
    </row>
    <row r="313" spans="1:9">
      <c r="A313" s="2" t="s">
        <v>768</v>
      </c>
      <c r="B313" s="2" t="s">
        <v>232</v>
      </c>
      <c r="C313" s="2" t="s">
        <v>96</v>
      </c>
      <c r="D313" s="2" t="s">
        <v>67</v>
      </c>
      <c r="E313" s="2">
        <f>SUMIF('03_LOTES'!B:B, F313, '03_LOTES'!E:E)</f>
        <v>0</v>
      </c>
      <c r="F313" s="2">
        <f>A313 &amp; " | " &amp; B313 &amp; " | " &amp; C313</f>
        <v>0</v>
      </c>
      <c r="G313" s="2" t="s">
        <v>769</v>
      </c>
      <c r="I313" s="2" t="s">
        <v>53</v>
      </c>
    </row>
    <row r="314" spans="1:9">
      <c r="A314" s="2" t="s">
        <v>770</v>
      </c>
      <c r="B314" s="2" t="s">
        <v>107</v>
      </c>
      <c r="C314" s="2" t="s">
        <v>96</v>
      </c>
      <c r="D314" s="2" t="s">
        <v>64</v>
      </c>
      <c r="E314" s="2">
        <f>SUMIF('03_LOTES'!B:B, F314, '03_LOTES'!E:E)</f>
        <v>0</v>
      </c>
      <c r="F314" s="2">
        <f>A314 &amp; " | " &amp; B314 &amp; " | " &amp; C314</f>
        <v>0</v>
      </c>
      <c r="G314" s="2" t="s">
        <v>771</v>
      </c>
      <c r="I314" s="2" t="s">
        <v>53</v>
      </c>
    </row>
    <row r="315" spans="1:9">
      <c r="A315" s="2" t="s">
        <v>770</v>
      </c>
      <c r="B315" s="2" t="s">
        <v>368</v>
      </c>
      <c r="C315" s="2" t="s">
        <v>351</v>
      </c>
      <c r="D315" s="2" t="s">
        <v>64</v>
      </c>
      <c r="E315" s="2">
        <f>SUMIF('03_LOTES'!B:B, F315, '03_LOTES'!E:E)</f>
        <v>0</v>
      </c>
      <c r="F315" s="2">
        <f>A315 &amp; " | " &amp; B315 &amp; " | " &amp; C315</f>
        <v>0</v>
      </c>
      <c r="G315" s="2" t="s">
        <v>772</v>
      </c>
      <c r="I315" s="2" t="s">
        <v>53</v>
      </c>
    </row>
    <row r="316" spans="1:9">
      <c r="A316" s="2" t="s">
        <v>773</v>
      </c>
      <c r="B316" s="2" t="s">
        <v>151</v>
      </c>
      <c r="C316" s="2" t="s">
        <v>96</v>
      </c>
      <c r="D316" s="2" t="s">
        <v>73</v>
      </c>
      <c r="E316" s="2">
        <f>SUMIF('03_LOTES'!B:B, F316, '03_LOTES'!E:E)</f>
        <v>0</v>
      </c>
      <c r="F316" s="2">
        <f>A316 &amp; " | " &amp; B316 &amp; " | " &amp; C316</f>
        <v>0</v>
      </c>
      <c r="G316" s="2" t="s">
        <v>774</v>
      </c>
      <c r="I316" s="2" t="s">
        <v>53</v>
      </c>
    </row>
    <row r="317" spans="1:9">
      <c r="A317" s="2" t="s">
        <v>775</v>
      </c>
      <c r="B317" s="2" t="s">
        <v>776</v>
      </c>
      <c r="C317" s="2" t="s">
        <v>96</v>
      </c>
      <c r="D317" s="2" t="s">
        <v>73</v>
      </c>
      <c r="E317" s="2">
        <f>SUMIF('03_LOTES'!B:B, F317, '03_LOTES'!E:E)</f>
        <v>0</v>
      </c>
      <c r="F317" s="2">
        <f>A317 &amp; " | " &amp; B317 &amp; " | " &amp; C317</f>
        <v>0</v>
      </c>
      <c r="G317" s="2" t="s">
        <v>777</v>
      </c>
      <c r="I317" s="2" t="s">
        <v>53</v>
      </c>
    </row>
    <row r="318" spans="1:9">
      <c r="A318" s="2" t="s">
        <v>778</v>
      </c>
      <c r="B318" s="2" t="s">
        <v>171</v>
      </c>
      <c r="C318" s="2" t="s">
        <v>77</v>
      </c>
      <c r="D318" s="2" t="s">
        <v>73</v>
      </c>
      <c r="E318" s="2">
        <f>SUMIF('03_LOTES'!B:B, F318, '03_LOTES'!E:E)</f>
        <v>0</v>
      </c>
      <c r="F318" s="2">
        <f>A318 &amp; " | " &amp; B318 &amp; " | " &amp; C318</f>
        <v>0</v>
      </c>
      <c r="G318" s="2" t="s">
        <v>779</v>
      </c>
      <c r="I318" s="2" t="s">
        <v>53</v>
      </c>
    </row>
    <row r="319" spans="1:9">
      <c r="A319" s="2" t="s">
        <v>780</v>
      </c>
      <c r="B319" s="2" t="s">
        <v>95</v>
      </c>
      <c r="C319" s="2" t="s">
        <v>96</v>
      </c>
      <c r="D319" s="2" t="s">
        <v>73</v>
      </c>
      <c r="E319" s="2">
        <f>SUMIF('03_LOTES'!B:B, F319, '03_LOTES'!E:E)</f>
        <v>0</v>
      </c>
      <c r="F319" s="2">
        <f>A319 &amp; " | " &amp; B319 &amp; " | " &amp; C319</f>
        <v>0</v>
      </c>
      <c r="G319" s="2" t="s">
        <v>781</v>
      </c>
      <c r="I319" s="2" t="s">
        <v>53</v>
      </c>
    </row>
    <row r="320" spans="1:9">
      <c r="A320" s="2" t="s">
        <v>782</v>
      </c>
      <c r="B320" s="2" t="s">
        <v>783</v>
      </c>
      <c r="C320" s="2" t="s">
        <v>238</v>
      </c>
      <c r="D320" s="2" t="s">
        <v>73</v>
      </c>
      <c r="E320" s="2">
        <f>SUMIF('03_LOTES'!B:B, F320, '03_LOTES'!E:E)</f>
        <v>0</v>
      </c>
      <c r="F320" s="2">
        <f>A320 &amp; " | " &amp; B320 &amp; " | " &amp; C320</f>
        <v>0</v>
      </c>
      <c r="G320" s="2" t="s">
        <v>784</v>
      </c>
      <c r="I320" s="2" t="s">
        <v>53</v>
      </c>
    </row>
    <row r="321" spans="1:9">
      <c r="A321" s="2" t="s">
        <v>785</v>
      </c>
      <c r="B321" s="2" t="s">
        <v>786</v>
      </c>
      <c r="C321" s="2" t="s">
        <v>96</v>
      </c>
      <c r="D321" s="2" t="s">
        <v>73</v>
      </c>
      <c r="E321" s="2">
        <f>SUMIF('03_LOTES'!B:B, F321, '03_LOTES'!E:E)</f>
        <v>0</v>
      </c>
      <c r="F321" s="2">
        <f>A321 &amp; " | " &amp; B321 &amp; " | " &amp; C321</f>
        <v>0</v>
      </c>
      <c r="G321" s="2" t="s">
        <v>787</v>
      </c>
      <c r="I321" s="2" t="s">
        <v>53</v>
      </c>
    </row>
    <row r="322" spans="1:9">
      <c r="A322" s="2" t="s">
        <v>788</v>
      </c>
      <c r="B322" s="2" t="s">
        <v>789</v>
      </c>
      <c r="C322" s="2" t="s">
        <v>790</v>
      </c>
      <c r="D322" s="2" t="s">
        <v>73</v>
      </c>
      <c r="E322" s="2">
        <f>SUMIF('03_LOTES'!B:B, F322, '03_LOTES'!E:E)</f>
        <v>0</v>
      </c>
      <c r="F322" s="2">
        <f>A322 &amp; " | " &amp; B322 &amp; " | " &amp; C322</f>
        <v>0</v>
      </c>
      <c r="G322" s="2" t="s">
        <v>791</v>
      </c>
      <c r="I322" s="2" t="s">
        <v>53</v>
      </c>
    </row>
    <row r="323" spans="1:9">
      <c r="A323" s="2" t="s">
        <v>788</v>
      </c>
      <c r="B323" s="2" t="s">
        <v>792</v>
      </c>
      <c r="C323" s="2" t="s">
        <v>339</v>
      </c>
      <c r="D323" s="2" t="s">
        <v>73</v>
      </c>
      <c r="E323" s="2">
        <f>SUMIF('03_LOTES'!B:B, F323, '03_LOTES'!E:E)</f>
        <v>0</v>
      </c>
      <c r="F323" s="2">
        <f>A323 &amp; " | " &amp; B323 &amp; " | " &amp; C323</f>
        <v>0</v>
      </c>
      <c r="G323" s="2" t="s">
        <v>793</v>
      </c>
      <c r="I323" s="2" t="s">
        <v>53</v>
      </c>
    </row>
    <row r="324" spans="1:9">
      <c r="A324" s="2" t="s">
        <v>794</v>
      </c>
      <c r="B324" s="2" t="s">
        <v>229</v>
      </c>
      <c r="C324" s="2" t="s">
        <v>219</v>
      </c>
      <c r="D324" s="2" t="s">
        <v>73</v>
      </c>
      <c r="E324" s="2">
        <f>SUMIF('03_LOTES'!B:B, F324, '03_LOTES'!E:E)</f>
        <v>0</v>
      </c>
      <c r="F324" s="2">
        <f>A324 &amp; " | " &amp; B324 &amp; " | " &amp; C324</f>
        <v>0</v>
      </c>
      <c r="G324" s="2" t="s">
        <v>795</v>
      </c>
      <c r="I324" s="2" t="s">
        <v>53</v>
      </c>
    </row>
    <row r="325" spans="1:9">
      <c r="A325" s="2" t="s">
        <v>796</v>
      </c>
      <c r="B325" s="2" t="s">
        <v>80</v>
      </c>
      <c r="C325" s="2" t="s">
        <v>77</v>
      </c>
      <c r="D325" s="2" t="s">
        <v>73</v>
      </c>
      <c r="E325" s="2">
        <f>SUMIF('03_LOTES'!B:B, F325, '03_LOTES'!E:E)</f>
        <v>0</v>
      </c>
      <c r="F325" s="2">
        <f>A325 &amp; " | " &amp; B325 &amp; " | " &amp; C325</f>
        <v>0</v>
      </c>
      <c r="G325" s="2" t="s">
        <v>797</v>
      </c>
      <c r="I325" s="2" t="s">
        <v>53</v>
      </c>
    </row>
    <row r="326" spans="1:9">
      <c r="A326" s="2" t="s">
        <v>798</v>
      </c>
      <c r="B326" s="2" t="s">
        <v>799</v>
      </c>
      <c r="C326" s="2" t="s">
        <v>447</v>
      </c>
      <c r="D326" s="2" t="s">
        <v>73</v>
      </c>
      <c r="E326" s="2">
        <f>SUMIF('03_LOTES'!B:B, F326, '03_LOTES'!E:E)</f>
        <v>0</v>
      </c>
      <c r="F326" s="2">
        <f>A326 &amp; " | " &amp; B326 &amp; " | " &amp; C326</f>
        <v>0</v>
      </c>
      <c r="G326" s="2" t="s">
        <v>800</v>
      </c>
      <c r="I326" s="2" t="s">
        <v>53</v>
      </c>
    </row>
    <row r="327" spans="1:9">
      <c r="A327" s="2" t="s">
        <v>801</v>
      </c>
      <c r="B327" s="2" t="s">
        <v>665</v>
      </c>
      <c r="C327" s="2" t="s">
        <v>148</v>
      </c>
      <c r="D327" s="2" t="s">
        <v>73</v>
      </c>
      <c r="E327" s="2">
        <f>SUMIF('03_LOTES'!B:B, F327, '03_LOTES'!E:E)</f>
        <v>0</v>
      </c>
      <c r="F327" s="2">
        <f>A327 &amp; " | " &amp; B327 &amp; " | " &amp; C327</f>
        <v>0</v>
      </c>
      <c r="G327" s="2" t="s">
        <v>802</v>
      </c>
      <c r="I327" s="2" t="s">
        <v>53</v>
      </c>
    </row>
    <row r="328" spans="1:9">
      <c r="A328" s="2" t="s">
        <v>801</v>
      </c>
      <c r="B328" s="2" t="s">
        <v>232</v>
      </c>
      <c r="C328" s="2" t="s">
        <v>96</v>
      </c>
      <c r="D328" s="2" t="s">
        <v>73</v>
      </c>
      <c r="E328" s="2">
        <f>SUMIF('03_LOTES'!B:B, F328, '03_LOTES'!E:E)</f>
        <v>0</v>
      </c>
      <c r="F328" s="2">
        <f>A328 &amp; " | " &amp; B328 &amp; " | " &amp; C328</f>
        <v>0</v>
      </c>
      <c r="G328" s="2" t="s">
        <v>803</v>
      </c>
      <c r="I328" s="2" t="s">
        <v>53</v>
      </c>
    </row>
    <row r="329" spans="1:9">
      <c r="A329" s="2" t="s">
        <v>804</v>
      </c>
      <c r="B329" s="2" t="s">
        <v>805</v>
      </c>
      <c r="C329" s="2" t="s">
        <v>96</v>
      </c>
      <c r="D329" s="2" t="s">
        <v>73</v>
      </c>
      <c r="E329" s="2">
        <f>SUMIF('03_LOTES'!B:B, F329, '03_LOTES'!E:E)</f>
        <v>0</v>
      </c>
      <c r="F329" s="2">
        <f>A329 &amp; " | " &amp; B329 &amp; " | " &amp; C329</f>
        <v>0</v>
      </c>
      <c r="G329" s="2" t="s">
        <v>806</v>
      </c>
      <c r="I329" s="2" t="s">
        <v>53</v>
      </c>
    </row>
    <row r="330" spans="1:9">
      <c r="A330" s="2" t="s">
        <v>807</v>
      </c>
      <c r="B330" s="2" t="s">
        <v>808</v>
      </c>
      <c r="C330" s="2" t="s">
        <v>96</v>
      </c>
      <c r="D330" s="2" t="s">
        <v>73</v>
      </c>
      <c r="E330" s="2">
        <f>SUMIF('03_LOTES'!B:B, F330, '03_LOTES'!E:E)</f>
        <v>0</v>
      </c>
      <c r="F330" s="2">
        <f>A330 &amp; " | " &amp; B330 &amp; " | " &amp; C330</f>
        <v>0</v>
      </c>
      <c r="G330" s="2" t="s">
        <v>809</v>
      </c>
      <c r="I330" s="2" t="s">
        <v>53</v>
      </c>
    </row>
    <row r="331" spans="1:9">
      <c r="A331" s="2" t="s">
        <v>810</v>
      </c>
      <c r="B331" s="2" t="s">
        <v>811</v>
      </c>
      <c r="C331" s="2" t="s">
        <v>96</v>
      </c>
      <c r="D331" s="2" t="s">
        <v>73</v>
      </c>
      <c r="E331" s="2">
        <f>SUMIF('03_LOTES'!B:B, F331, '03_LOTES'!E:E)</f>
        <v>0</v>
      </c>
      <c r="F331" s="2">
        <f>A331 &amp; " | " &amp; B331 &amp; " | " &amp; C331</f>
        <v>0</v>
      </c>
      <c r="G331" s="2" t="s">
        <v>812</v>
      </c>
      <c r="I331" s="2" t="s">
        <v>53</v>
      </c>
    </row>
    <row r="332" spans="1:9">
      <c r="A332" s="2" t="s">
        <v>813</v>
      </c>
      <c r="B332" s="2" t="s">
        <v>174</v>
      </c>
      <c r="C332" s="2" t="s">
        <v>96</v>
      </c>
      <c r="D332" s="2" t="s">
        <v>73</v>
      </c>
      <c r="E332" s="2">
        <f>SUMIF('03_LOTES'!B:B, F332, '03_LOTES'!E:E)</f>
        <v>0</v>
      </c>
      <c r="F332" s="2">
        <f>A332 &amp; " | " &amp; B332 &amp; " | " &amp; C332</f>
        <v>0</v>
      </c>
      <c r="G332" s="2" t="s">
        <v>814</v>
      </c>
      <c r="I332" s="2" t="s">
        <v>53</v>
      </c>
    </row>
    <row r="333" spans="1:9">
      <c r="A333" s="2" t="s">
        <v>813</v>
      </c>
      <c r="B333" s="2" t="s">
        <v>107</v>
      </c>
      <c r="C333" s="2" t="s">
        <v>96</v>
      </c>
      <c r="D333" s="2" t="s">
        <v>73</v>
      </c>
      <c r="E333" s="2">
        <f>SUMIF('03_LOTES'!B:B, F333, '03_LOTES'!E:E)</f>
        <v>0</v>
      </c>
      <c r="F333" s="2">
        <f>A333 &amp; " | " &amp; B333 &amp; " | " &amp; C333</f>
        <v>0</v>
      </c>
      <c r="G333" s="2" t="s">
        <v>815</v>
      </c>
      <c r="I333" s="2" t="s">
        <v>53</v>
      </c>
    </row>
    <row r="334" spans="1:9">
      <c r="A334" s="2" t="s">
        <v>816</v>
      </c>
      <c r="B334" s="2" t="s">
        <v>442</v>
      </c>
      <c r="C334" s="2" t="s">
        <v>77</v>
      </c>
      <c r="D334" s="2" t="s">
        <v>73</v>
      </c>
      <c r="E334" s="2">
        <f>SUMIF('03_LOTES'!B:B, F334, '03_LOTES'!E:E)</f>
        <v>0</v>
      </c>
      <c r="F334" s="2">
        <f>A334 &amp; " | " &amp; B334 &amp; " | " &amp; C334</f>
        <v>0</v>
      </c>
      <c r="G334" s="2" t="s">
        <v>817</v>
      </c>
      <c r="I334" s="2" t="s">
        <v>53</v>
      </c>
    </row>
    <row r="335" spans="1:9">
      <c r="A335" s="2" t="s">
        <v>818</v>
      </c>
      <c r="B335" s="2" t="s">
        <v>420</v>
      </c>
      <c r="C335" s="2" t="s">
        <v>469</v>
      </c>
      <c r="D335" s="2" t="s">
        <v>55</v>
      </c>
      <c r="E335" s="2">
        <f>SUMIF('03_LOTES'!B:B, F335, '03_LOTES'!E:E)</f>
        <v>0</v>
      </c>
      <c r="F335" s="2">
        <f>A335 &amp; " | " &amp; B335 &amp; " | " &amp; C335</f>
        <v>0</v>
      </c>
      <c r="G335" s="2" t="s">
        <v>819</v>
      </c>
      <c r="I335" s="2" t="s">
        <v>53</v>
      </c>
    </row>
    <row r="336" spans="1:9">
      <c r="A336" s="2" t="s">
        <v>818</v>
      </c>
      <c r="B336" s="2" t="s">
        <v>420</v>
      </c>
      <c r="C336" s="2" t="s">
        <v>238</v>
      </c>
      <c r="D336" s="2" t="s">
        <v>55</v>
      </c>
      <c r="E336" s="2">
        <f>SUMIF('03_LOTES'!B:B, F336, '03_LOTES'!E:E)</f>
        <v>0</v>
      </c>
      <c r="F336" s="2">
        <f>A336 &amp; " | " &amp; B336 &amp; " | " &amp; C336</f>
        <v>0</v>
      </c>
      <c r="G336" s="2" t="s">
        <v>820</v>
      </c>
      <c r="I336" s="2" t="s">
        <v>53</v>
      </c>
    </row>
    <row r="337" spans="1:9">
      <c r="A337" s="2" t="s">
        <v>821</v>
      </c>
      <c r="B337" s="2" t="s">
        <v>229</v>
      </c>
      <c r="C337" s="2" t="s">
        <v>96</v>
      </c>
      <c r="D337" s="2" t="s">
        <v>55</v>
      </c>
      <c r="E337" s="2">
        <f>SUMIF('03_LOTES'!B:B, F337, '03_LOTES'!E:E)</f>
        <v>0</v>
      </c>
      <c r="F337" s="2">
        <f>A337 &amp; " | " &amp; B337 &amp; " | " &amp; C337</f>
        <v>0</v>
      </c>
      <c r="G337" s="2" t="s">
        <v>822</v>
      </c>
      <c r="I337" s="2" t="s">
        <v>53</v>
      </c>
    </row>
    <row r="338" spans="1:9">
      <c r="A338" s="2" t="s">
        <v>821</v>
      </c>
      <c r="B338" s="2" t="s">
        <v>823</v>
      </c>
      <c r="C338" s="2" t="s">
        <v>96</v>
      </c>
      <c r="D338" s="2" t="s">
        <v>55</v>
      </c>
      <c r="E338" s="2">
        <f>SUMIF('03_LOTES'!B:B, F338, '03_LOTES'!E:E)</f>
        <v>0</v>
      </c>
      <c r="F338" s="2">
        <f>A338 &amp; " | " &amp; B338 &amp; " | " &amp; C338</f>
        <v>0</v>
      </c>
      <c r="G338" s="2" t="s">
        <v>824</v>
      </c>
      <c r="I338" s="2" t="s">
        <v>53</v>
      </c>
    </row>
    <row r="339" spans="1:9">
      <c r="A339" s="2" t="s">
        <v>825</v>
      </c>
      <c r="B339" s="2" t="s">
        <v>309</v>
      </c>
      <c r="C339" s="2" t="s">
        <v>77</v>
      </c>
      <c r="D339" s="2" t="s">
        <v>61</v>
      </c>
      <c r="E339" s="2">
        <f>SUMIF('03_LOTES'!B:B, F339, '03_LOTES'!E:E)</f>
        <v>0</v>
      </c>
      <c r="F339" s="2">
        <f>A339 &amp; " | " &amp; B339 &amp; " | " &amp; C339</f>
        <v>0</v>
      </c>
      <c r="G339" s="2" t="s">
        <v>826</v>
      </c>
      <c r="I339" s="2" t="s">
        <v>53</v>
      </c>
    </row>
    <row r="340" spans="1:9">
      <c r="A340" s="2" t="s">
        <v>827</v>
      </c>
      <c r="B340" s="2" t="s">
        <v>90</v>
      </c>
      <c r="C340" s="2" t="s">
        <v>828</v>
      </c>
      <c r="D340" s="2" t="s">
        <v>73</v>
      </c>
      <c r="E340" s="2">
        <f>SUMIF('03_LOTES'!B:B, F340, '03_LOTES'!E:E)</f>
        <v>0</v>
      </c>
      <c r="F340" s="2">
        <f>A340 &amp; " | " &amp; B340 &amp; " | " &amp; C340</f>
        <v>0</v>
      </c>
      <c r="G340" s="2" t="s">
        <v>829</v>
      </c>
      <c r="I340" s="2" t="s">
        <v>53</v>
      </c>
    </row>
    <row r="341" spans="1:9">
      <c r="A341" s="2" t="s">
        <v>830</v>
      </c>
      <c r="B341" s="2" t="s">
        <v>90</v>
      </c>
      <c r="C341" s="2" t="s">
        <v>138</v>
      </c>
      <c r="D341" s="2" t="s">
        <v>73</v>
      </c>
      <c r="E341" s="2">
        <f>SUMIF('03_LOTES'!B:B, F341, '03_LOTES'!E:E)</f>
        <v>0</v>
      </c>
      <c r="F341" s="2">
        <f>A341 &amp; " | " &amp; B341 &amp; " | " &amp; C341</f>
        <v>0</v>
      </c>
      <c r="G341" s="2" t="s">
        <v>831</v>
      </c>
      <c r="I341" s="2" t="s">
        <v>53</v>
      </c>
    </row>
    <row r="342" spans="1:9">
      <c r="A342" s="2" t="s">
        <v>832</v>
      </c>
      <c r="B342" s="2" t="s">
        <v>833</v>
      </c>
      <c r="C342" s="2" t="s">
        <v>537</v>
      </c>
      <c r="D342" s="2" t="s">
        <v>73</v>
      </c>
      <c r="E342" s="2">
        <f>SUMIF('03_LOTES'!B:B, F342, '03_LOTES'!E:E)</f>
        <v>0</v>
      </c>
      <c r="F342" s="2">
        <f>A342 &amp; " | " &amp; B342 &amp; " | " &amp; C342</f>
        <v>0</v>
      </c>
      <c r="G342" s="2" t="s">
        <v>834</v>
      </c>
      <c r="I342" s="2" t="s">
        <v>53</v>
      </c>
    </row>
    <row r="343" spans="1:9">
      <c r="A343" s="2" t="s">
        <v>832</v>
      </c>
      <c r="B343" s="2" t="s">
        <v>835</v>
      </c>
      <c r="C343" s="2" t="s">
        <v>537</v>
      </c>
      <c r="D343" s="2" t="s">
        <v>73</v>
      </c>
      <c r="E343" s="2">
        <f>SUMIF('03_LOTES'!B:B, F343, '03_LOTES'!E:E)</f>
        <v>0</v>
      </c>
      <c r="F343" s="2">
        <f>A343 &amp; " | " &amp; B343 &amp; " | " &amp; C343</f>
        <v>0</v>
      </c>
      <c r="G343" s="2" t="s">
        <v>836</v>
      </c>
      <c r="I343" s="2" t="s">
        <v>53</v>
      </c>
    </row>
    <row r="344" spans="1:9">
      <c r="A344" s="2" t="s">
        <v>837</v>
      </c>
      <c r="B344" s="2" t="s">
        <v>168</v>
      </c>
      <c r="C344" s="2" t="s">
        <v>96</v>
      </c>
      <c r="D344" s="2" t="s">
        <v>73</v>
      </c>
      <c r="E344" s="2">
        <f>SUMIF('03_LOTES'!B:B, F344, '03_LOTES'!E:E)</f>
        <v>0</v>
      </c>
      <c r="F344" s="2">
        <f>A344 &amp; " | " &amp; B344 &amp; " | " &amp; C344</f>
        <v>0</v>
      </c>
      <c r="G344" s="2" t="s">
        <v>838</v>
      </c>
      <c r="I344" s="2" t="s">
        <v>53</v>
      </c>
    </row>
    <row r="345" spans="1:9">
      <c r="A345" s="2" t="s">
        <v>839</v>
      </c>
      <c r="B345" s="2" t="s">
        <v>840</v>
      </c>
      <c r="C345" s="2" t="s">
        <v>96</v>
      </c>
      <c r="D345" s="2" t="s">
        <v>73</v>
      </c>
      <c r="E345" s="2">
        <f>SUMIF('03_LOTES'!B:B, F345, '03_LOTES'!E:E)</f>
        <v>0</v>
      </c>
      <c r="F345" s="2">
        <f>A345 &amp; " | " &amp; B345 &amp; " | " &amp; C345</f>
        <v>0</v>
      </c>
      <c r="G345" s="2" t="s">
        <v>841</v>
      </c>
      <c r="I345" s="2" t="s">
        <v>53</v>
      </c>
    </row>
    <row r="346" spans="1:9">
      <c r="A346" s="2" t="s">
        <v>842</v>
      </c>
      <c r="B346" s="2" t="s">
        <v>95</v>
      </c>
      <c r="C346" s="2" t="s">
        <v>96</v>
      </c>
      <c r="D346" s="2" t="s">
        <v>67</v>
      </c>
      <c r="E346" s="2">
        <f>SUMIF('03_LOTES'!B:B, F346, '03_LOTES'!E:E)</f>
        <v>0</v>
      </c>
      <c r="F346" s="2">
        <f>A346 &amp; " | " &amp; B346 &amp; " | " &amp; C346</f>
        <v>0</v>
      </c>
      <c r="G346" s="2" t="s">
        <v>843</v>
      </c>
      <c r="I346" s="2" t="s">
        <v>53</v>
      </c>
    </row>
    <row r="347" spans="1:9">
      <c r="A347" s="2" t="s">
        <v>844</v>
      </c>
      <c r="B347" s="2" t="s">
        <v>845</v>
      </c>
      <c r="C347" s="2" t="s">
        <v>96</v>
      </c>
      <c r="D347" s="2" t="s">
        <v>73</v>
      </c>
      <c r="E347" s="2">
        <f>SUMIF('03_LOTES'!B:B, F347, '03_LOTES'!E:E)</f>
        <v>0</v>
      </c>
      <c r="F347" s="2">
        <f>A347 &amp; " | " &amp; B347 &amp; " | " &amp; C347</f>
        <v>0</v>
      </c>
      <c r="G347" s="2" t="s">
        <v>846</v>
      </c>
      <c r="I347" s="2" t="s">
        <v>53</v>
      </c>
    </row>
    <row r="348" spans="1:9">
      <c r="A348" s="2" t="s">
        <v>847</v>
      </c>
      <c r="B348" s="2" t="s">
        <v>112</v>
      </c>
      <c r="C348" s="2" t="s">
        <v>77</v>
      </c>
      <c r="D348" s="2" t="s">
        <v>73</v>
      </c>
      <c r="E348" s="2">
        <f>SUMIF('03_LOTES'!B:B, F348, '03_LOTES'!E:E)</f>
        <v>0</v>
      </c>
      <c r="F348" s="2">
        <f>A348 &amp; " | " &amp; B348 &amp; " | " &amp; C348</f>
        <v>0</v>
      </c>
      <c r="G348" s="2" t="s">
        <v>848</v>
      </c>
      <c r="I348" s="2" t="s">
        <v>53</v>
      </c>
    </row>
    <row r="349" spans="1:9">
      <c r="A349" s="2" t="s">
        <v>847</v>
      </c>
      <c r="B349" s="2" t="s">
        <v>849</v>
      </c>
      <c r="C349" s="2" t="s">
        <v>105</v>
      </c>
      <c r="D349" s="2" t="s">
        <v>73</v>
      </c>
      <c r="E349" s="2">
        <f>SUMIF('03_LOTES'!B:B, F349, '03_LOTES'!E:E)</f>
        <v>0</v>
      </c>
      <c r="F349" s="2">
        <f>A349 &amp; " | " &amp; B349 &amp; " | " &amp; C349</f>
        <v>0</v>
      </c>
      <c r="G349" s="2" t="s">
        <v>850</v>
      </c>
      <c r="I349" s="2" t="s">
        <v>53</v>
      </c>
    </row>
    <row r="350" spans="1:9">
      <c r="A350" s="2" t="s">
        <v>851</v>
      </c>
      <c r="B350" s="2" t="s">
        <v>852</v>
      </c>
      <c r="C350" s="2" t="s">
        <v>409</v>
      </c>
      <c r="D350" s="2" t="s">
        <v>73</v>
      </c>
      <c r="E350" s="2">
        <f>SUMIF('03_LOTES'!B:B, F350, '03_LOTES'!E:E)</f>
        <v>0</v>
      </c>
      <c r="F350" s="2">
        <f>A350 &amp; " | " &amp; B350 &amp; " | " &amp; C350</f>
        <v>0</v>
      </c>
      <c r="G350" s="2" t="s">
        <v>853</v>
      </c>
      <c r="I350" s="2" t="s">
        <v>53</v>
      </c>
    </row>
    <row r="351" spans="1:9">
      <c r="A351" s="2" t="s">
        <v>851</v>
      </c>
      <c r="B351" s="2" t="s">
        <v>309</v>
      </c>
      <c r="C351" s="2" t="s">
        <v>77</v>
      </c>
      <c r="D351" s="2" t="s">
        <v>73</v>
      </c>
      <c r="E351" s="2">
        <f>SUMIF('03_LOTES'!B:B, F351, '03_LOTES'!E:E)</f>
        <v>0</v>
      </c>
      <c r="F351" s="2">
        <f>A351 &amp; " | " &amp; B351 &amp; " | " &amp; C351</f>
        <v>0</v>
      </c>
      <c r="G351" s="2" t="s">
        <v>854</v>
      </c>
      <c r="I351" s="2" t="s">
        <v>53</v>
      </c>
    </row>
    <row r="352" spans="1:9">
      <c r="A352" s="2" t="s">
        <v>851</v>
      </c>
      <c r="B352" s="2" t="s">
        <v>855</v>
      </c>
      <c r="C352" s="2" t="s">
        <v>96</v>
      </c>
      <c r="D352" s="2" t="s">
        <v>73</v>
      </c>
      <c r="E352" s="2">
        <f>SUMIF('03_LOTES'!B:B, F352, '03_LOTES'!E:E)</f>
        <v>0</v>
      </c>
      <c r="F352" s="2">
        <f>A352 &amp; " | " &amp; B352 &amp; " | " &amp; C352</f>
        <v>0</v>
      </c>
      <c r="G352" s="2" t="s">
        <v>856</v>
      </c>
      <c r="I352" s="2" t="s">
        <v>53</v>
      </c>
    </row>
    <row r="353" spans="1:9">
      <c r="A353" s="2" t="s">
        <v>857</v>
      </c>
      <c r="B353" s="2" t="s">
        <v>165</v>
      </c>
      <c r="C353" s="2" t="s">
        <v>96</v>
      </c>
      <c r="D353" s="2" t="s">
        <v>73</v>
      </c>
      <c r="E353" s="2">
        <f>SUMIF('03_LOTES'!B:B, F353, '03_LOTES'!E:E)</f>
        <v>0</v>
      </c>
      <c r="F353" s="2">
        <f>A353 &amp; " | " &amp; B353 &amp; " | " &amp; C353</f>
        <v>0</v>
      </c>
      <c r="G353" s="2" t="s">
        <v>858</v>
      </c>
      <c r="I353" s="2" t="s">
        <v>53</v>
      </c>
    </row>
    <row r="354" spans="1:9">
      <c r="A354" s="2" t="s">
        <v>859</v>
      </c>
      <c r="B354" s="2" t="s">
        <v>860</v>
      </c>
      <c r="C354" s="2" t="s">
        <v>447</v>
      </c>
      <c r="D354" s="2" t="s">
        <v>73</v>
      </c>
      <c r="E354" s="2">
        <f>SUMIF('03_LOTES'!B:B, F354, '03_LOTES'!E:E)</f>
        <v>0</v>
      </c>
      <c r="F354" s="2">
        <f>A354 &amp; " | " &amp; B354 &amp; " | " &amp; C354</f>
        <v>0</v>
      </c>
      <c r="G354" s="2" t="s">
        <v>861</v>
      </c>
      <c r="I354" s="2" t="s">
        <v>53</v>
      </c>
    </row>
    <row r="355" spans="1:9">
      <c r="A355" s="2" t="s">
        <v>862</v>
      </c>
      <c r="B355" s="2" t="s">
        <v>863</v>
      </c>
      <c r="C355" s="2" t="s">
        <v>96</v>
      </c>
      <c r="D355" s="2" t="s">
        <v>73</v>
      </c>
      <c r="E355" s="2">
        <f>SUMIF('03_LOTES'!B:B, F355, '03_LOTES'!E:E)</f>
        <v>0</v>
      </c>
      <c r="F355" s="2">
        <f>A355 &amp; " | " &amp; B355 &amp; " | " &amp; C355</f>
        <v>0</v>
      </c>
      <c r="G355" s="2" t="s">
        <v>864</v>
      </c>
      <c r="I355" s="2" t="s">
        <v>53</v>
      </c>
    </row>
    <row r="356" spans="1:9">
      <c r="A356" s="2" t="s">
        <v>865</v>
      </c>
      <c r="B356" s="2" t="s">
        <v>845</v>
      </c>
      <c r="C356" s="2" t="s">
        <v>96</v>
      </c>
      <c r="D356" s="2" t="s">
        <v>73</v>
      </c>
      <c r="E356" s="2">
        <f>SUMIF('03_LOTES'!B:B, F356, '03_LOTES'!E:E)</f>
        <v>0</v>
      </c>
      <c r="F356" s="2">
        <f>A356 &amp; " | " &amp; B356 &amp; " | " &amp; C356</f>
        <v>0</v>
      </c>
      <c r="G356" s="2" t="s">
        <v>866</v>
      </c>
      <c r="I356" s="2" t="s">
        <v>53</v>
      </c>
    </row>
    <row r="357" spans="1:9">
      <c r="A357" s="2" t="s">
        <v>867</v>
      </c>
      <c r="B357" s="2" t="s">
        <v>242</v>
      </c>
      <c r="C357" s="2" t="s">
        <v>96</v>
      </c>
      <c r="D357" s="2" t="s">
        <v>73</v>
      </c>
      <c r="E357" s="2">
        <f>SUMIF('03_LOTES'!B:B, F357, '03_LOTES'!E:E)</f>
        <v>0</v>
      </c>
      <c r="F357" s="2">
        <f>A357 &amp; " | " &amp; B357 &amp; " | " &amp; C357</f>
        <v>0</v>
      </c>
      <c r="G357" s="2" t="s">
        <v>868</v>
      </c>
      <c r="I357" s="2" t="s">
        <v>53</v>
      </c>
    </row>
    <row r="358" spans="1:9">
      <c r="A358" s="2" t="s">
        <v>867</v>
      </c>
      <c r="B358" s="2" t="s">
        <v>168</v>
      </c>
      <c r="C358" s="2" t="s">
        <v>77</v>
      </c>
      <c r="D358" s="2" t="s">
        <v>73</v>
      </c>
      <c r="E358" s="2">
        <f>SUMIF('03_LOTES'!B:B, F358, '03_LOTES'!E:E)</f>
        <v>0</v>
      </c>
      <c r="F358" s="2">
        <f>A358 &amp; " | " &amp; B358 &amp; " | " &amp; C358</f>
        <v>0</v>
      </c>
      <c r="G358" s="2" t="s">
        <v>869</v>
      </c>
      <c r="I358" s="2" t="s">
        <v>53</v>
      </c>
    </row>
    <row r="359" spans="1:9">
      <c r="A359" s="2" t="s">
        <v>870</v>
      </c>
      <c r="B359" s="2" t="s">
        <v>151</v>
      </c>
      <c r="C359" s="2" t="s">
        <v>148</v>
      </c>
      <c r="D359" s="2" t="s">
        <v>58</v>
      </c>
      <c r="E359" s="2">
        <f>SUMIF('03_LOTES'!B:B, F359, '03_LOTES'!E:E)</f>
        <v>0</v>
      </c>
      <c r="F359" s="2">
        <f>A359 &amp; " | " &amp; B359 &amp; " | " &amp; C359</f>
        <v>0</v>
      </c>
      <c r="G359" s="2" t="s">
        <v>871</v>
      </c>
      <c r="I359" s="2" t="s">
        <v>53</v>
      </c>
    </row>
    <row r="360" spans="1:9">
      <c r="A360" s="2" t="s">
        <v>872</v>
      </c>
      <c r="B360" s="2" t="s">
        <v>873</v>
      </c>
      <c r="C360" s="2" t="s">
        <v>77</v>
      </c>
      <c r="D360" s="2" t="s">
        <v>58</v>
      </c>
      <c r="E360" s="2">
        <f>SUMIF('03_LOTES'!B:B, F360, '03_LOTES'!E:E)</f>
        <v>0</v>
      </c>
      <c r="F360" s="2">
        <f>A360 &amp; " | " &amp; B360 &amp; " | " &amp; C360</f>
        <v>0</v>
      </c>
      <c r="G360" s="2" t="s">
        <v>874</v>
      </c>
      <c r="I360" s="2" t="s">
        <v>53</v>
      </c>
    </row>
    <row r="361" spans="1:9">
      <c r="A361" s="2" t="s">
        <v>875</v>
      </c>
      <c r="B361" s="2" t="s">
        <v>237</v>
      </c>
      <c r="C361" s="2" t="s">
        <v>249</v>
      </c>
      <c r="D361" s="2" t="s">
        <v>73</v>
      </c>
      <c r="E361" s="2">
        <f>SUMIF('03_LOTES'!B:B, F361, '03_LOTES'!E:E)</f>
        <v>0</v>
      </c>
      <c r="F361" s="2">
        <f>A361 &amp; " | " &amp; B361 &amp; " | " &amp; C361</f>
        <v>0</v>
      </c>
      <c r="G361" s="2" t="s">
        <v>876</v>
      </c>
      <c r="I361" s="2" t="s">
        <v>53</v>
      </c>
    </row>
    <row r="362" spans="1:9">
      <c r="A362" s="2" t="s">
        <v>877</v>
      </c>
      <c r="B362" s="2" t="s">
        <v>225</v>
      </c>
      <c r="C362" s="2" t="s">
        <v>96</v>
      </c>
      <c r="D362" s="2" t="s">
        <v>73</v>
      </c>
      <c r="E362" s="2">
        <f>SUMIF('03_LOTES'!B:B, F362, '03_LOTES'!E:E)</f>
        <v>0</v>
      </c>
      <c r="F362" s="2">
        <f>A362 &amp; " | " &amp; B362 &amp; " | " &amp; C362</f>
        <v>0</v>
      </c>
      <c r="G362" s="2" t="s">
        <v>878</v>
      </c>
      <c r="I362" s="2" t="s">
        <v>53</v>
      </c>
    </row>
    <row r="363" spans="1:9">
      <c r="A363" s="2" t="s">
        <v>877</v>
      </c>
      <c r="B363" s="2" t="s">
        <v>80</v>
      </c>
      <c r="C363" s="2" t="s">
        <v>96</v>
      </c>
      <c r="D363" s="2" t="s">
        <v>73</v>
      </c>
      <c r="E363" s="2">
        <f>SUMIF('03_LOTES'!B:B, F363, '03_LOTES'!E:E)</f>
        <v>0</v>
      </c>
      <c r="F363" s="2">
        <f>A363 &amp; " | " &amp; B363 &amp; " | " &amp; C363</f>
        <v>0</v>
      </c>
      <c r="G363" s="2" t="s">
        <v>879</v>
      </c>
      <c r="I363" s="2" t="s">
        <v>53</v>
      </c>
    </row>
    <row r="364" spans="1:9">
      <c r="A364" s="2" t="s">
        <v>880</v>
      </c>
      <c r="B364" s="2" t="s">
        <v>881</v>
      </c>
      <c r="C364" s="2" t="s">
        <v>681</v>
      </c>
      <c r="D364" s="2" t="s">
        <v>73</v>
      </c>
      <c r="E364" s="2">
        <f>SUMIF('03_LOTES'!B:B, F364, '03_LOTES'!E:E)</f>
        <v>0</v>
      </c>
      <c r="F364" s="2">
        <f>A364 &amp; " | " &amp; B364 &amp; " | " &amp; C364</f>
        <v>0</v>
      </c>
      <c r="G364" s="2" t="s">
        <v>882</v>
      </c>
      <c r="I364" s="2" t="s">
        <v>53</v>
      </c>
    </row>
    <row r="365" spans="1:9">
      <c r="A365" s="2" t="s">
        <v>880</v>
      </c>
      <c r="B365" s="2" t="s">
        <v>883</v>
      </c>
      <c r="C365" s="2" t="s">
        <v>884</v>
      </c>
      <c r="D365" s="2" t="s">
        <v>73</v>
      </c>
      <c r="E365" s="2">
        <f>SUMIF('03_LOTES'!B:B, F365, '03_LOTES'!E:E)</f>
        <v>0</v>
      </c>
      <c r="F365" s="2">
        <f>A365 &amp; " | " &amp; B365 &amp; " | " &amp; C365</f>
        <v>0</v>
      </c>
      <c r="G365" s="2" t="s">
        <v>885</v>
      </c>
      <c r="I365" s="2" t="s">
        <v>53</v>
      </c>
    </row>
    <row r="366" spans="1:9">
      <c r="A366" s="2" t="s">
        <v>886</v>
      </c>
      <c r="B366" s="2" t="s">
        <v>107</v>
      </c>
      <c r="C366" s="2" t="s">
        <v>77</v>
      </c>
      <c r="D366" s="2" t="s">
        <v>73</v>
      </c>
      <c r="E366" s="2">
        <f>SUMIF('03_LOTES'!B:B, F366, '03_LOTES'!E:E)</f>
        <v>0</v>
      </c>
      <c r="F366" s="2">
        <f>A366 &amp; " | " &amp; B366 &amp; " | " &amp; C366</f>
        <v>0</v>
      </c>
      <c r="G366" s="2" t="s">
        <v>887</v>
      </c>
      <c r="I366" s="2" t="s">
        <v>53</v>
      </c>
    </row>
    <row r="367" spans="1:9">
      <c r="A367" s="2" t="s">
        <v>888</v>
      </c>
      <c r="B367" s="2" t="s">
        <v>112</v>
      </c>
      <c r="C367" s="2" t="s">
        <v>83</v>
      </c>
      <c r="D367" s="2" t="s">
        <v>73</v>
      </c>
      <c r="E367" s="2">
        <f>SUMIF('03_LOTES'!B:B, F367, '03_LOTES'!E:E)</f>
        <v>0</v>
      </c>
      <c r="F367" s="2">
        <f>A367 &amp; " | " &amp; B367 &amp; " | " &amp; C367</f>
        <v>0</v>
      </c>
      <c r="G367" s="2" t="s">
        <v>889</v>
      </c>
      <c r="I367" s="2" t="s">
        <v>53</v>
      </c>
    </row>
    <row r="368" spans="1:9">
      <c r="A368" s="2" t="s">
        <v>890</v>
      </c>
      <c r="B368" s="2" t="s">
        <v>891</v>
      </c>
      <c r="C368" s="2" t="s">
        <v>105</v>
      </c>
      <c r="D368" s="2" t="s">
        <v>70</v>
      </c>
      <c r="E368" s="2">
        <f>SUMIF('03_LOTES'!B:B, F368, '03_LOTES'!E:E)</f>
        <v>0</v>
      </c>
      <c r="F368" s="2">
        <f>A368 &amp; " | " &amp; B368 &amp; " | " &amp; C368</f>
        <v>0</v>
      </c>
      <c r="G368" s="2" t="s">
        <v>892</v>
      </c>
      <c r="I368" s="2" t="s">
        <v>53</v>
      </c>
    </row>
    <row r="369" spans="1:9">
      <c r="A369" s="2" t="s">
        <v>893</v>
      </c>
      <c r="B369" s="2" t="s">
        <v>894</v>
      </c>
      <c r="C369" s="2" t="s">
        <v>96</v>
      </c>
      <c r="D369" s="2" t="s">
        <v>67</v>
      </c>
      <c r="E369" s="2">
        <f>SUMIF('03_LOTES'!B:B, F369, '03_LOTES'!E:E)</f>
        <v>0</v>
      </c>
      <c r="F369" s="2">
        <f>A369 &amp; " | " &amp; B369 &amp; " | " &amp; C369</f>
        <v>0</v>
      </c>
      <c r="G369" s="2" t="s">
        <v>895</v>
      </c>
      <c r="I369" s="2" t="s">
        <v>53</v>
      </c>
    </row>
    <row r="370" spans="1:9">
      <c r="A370" s="2" t="s">
        <v>896</v>
      </c>
      <c r="B370" s="2" t="s">
        <v>897</v>
      </c>
      <c r="C370" s="2" t="s">
        <v>105</v>
      </c>
      <c r="D370" s="2" t="s">
        <v>67</v>
      </c>
      <c r="E370" s="2">
        <f>SUMIF('03_LOTES'!B:B, F370, '03_LOTES'!E:E)</f>
        <v>0</v>
      </c>
      <c r="F370" s="2">
        <f>A370 &amp; " | " &amp; B370 &amp; " | " &amp; C370</f>
        <v>0</v>
      </c>
      <c r="G370" s="2" t="s">
        <v>898</v>
      </c>
      <c r="I370" s="2" t="s">
        <v>53</v>
      </c>
    </row>
    <row r="371" spans="1:9">
      <c r="A371" s="2" t="s">
        <v>899</v>
      </c>
      <c r="B371" s="2" t="s">
        <v>301</v>
      </c>
      <c r="C371" s="2" t="s">
        <v>447</v>
      </c>
      <c r="D371" s="2" t="s">
        <v>73</v>
      </c>
      <c r="E371" s="2">
        <f>SUMIF('03_LOTES'!B:B, F371, '03_LOTES'!E:E)</f>
        <v>0</v>
      </c>
      <c r="F371" s="2">
        <f>A371 &amp; " | " &amp; B371 &amp; " | " &amp; C371</f>
        <v>0</v>
      </c>
      <c r="G371" s="2" t="s">
        <v>900</v>
      </c>
      <c r="I371" s="2" t="s">
        <v>53</v>
      </c>
    </row>
    <row r="372" spans="1:9">
      <c r="A372" s="2" t="s">
        <v>901</v>
      </c>
      <c r="B372" s="2" t="s">
        <v>855</v>
      </c>
      <c r="C372" s="2" t="s">
        <v>96</v>
      </c>
      <c r="D372" s="2" t="s">
        <v>51</v>
      </c>
      <c r="E372" s="2">
        <f>SUMIF('03_LOTES'!B:B, F372, '03_LOTES'!E:E)</f>
        <v>0</v>
      </c>
      <c r="F372" s="2">
        <f>A372 &amp; " | " &amp; B372 &amp; " | " &amp; C372</f>
        <v>0</v>
      </c>
      <c r="G372" s="2" t="s">
        <v>902</v>
      </c>
      <c r="I372" s="2" t="s">
        <v>53</v>
      </c>
    </row>
    <row r="373" spans="1:9">
      <c r="A373" s="2" t="s">
        <v>901</v>
      </c>
      <c r="B373" s="2" t="s">
        <v>382</v>
      </c>
      <c r="C373" s="2" t="s">
        <v>105</v>
      </c>
      <c r="D373" s="2" t="s">
        <v>51</v>
      </c>
      <c r="E373" s="2">
        <f>SUMIF('03_LOTES'!B:B, F373, '03_LOTES'!E:E)</f>
        <v>0</v>
      </c>
      <c r="F373" s="2">
        <f>A373 &amp; " | " &amp; B373 &amp; " | " &amp; C373</f>
        <v>0</v>
      </c>
      <c r="G373" s="2" t="s">
        <v>903</v>
      </c>
      <c r="I373" s="2" t="s">
        <v>53</v>
      </c>
    </row>
    <row r="374" spans="1:9">
      <c r="A374" s="2" t="s">
        <v>901</v>
      </c>
      <c r="B374" s="2" t="s">
        <v>102</v>
      </c>
      <c r="C374" s="2" t="s">
        <v>77</v>
      </c>
      <c r="D374" s="2" t="s">
        <v>51</v>
      </c>
      <c r="E374" s="2">
        <f>SUMIF('03_LOTES'!B:B, F374, '03_LOTES'!E:E)</f>
        <v>0</v>
      </c>
      <c r="F374" s="2">
        <f>A374 &amp; " | " &amp; B374 &amp; " | " &amp; C374</f>
        <v>0</v>
      </c>
      <c r="G374" s="2" t="s">
        <v>904</v>
      </c>
      <c r="I374" s="2" t="s">
        <v>53</v>
      </c>
    </row>
    <row r="375" spans="1:9">
      <c r="A375" s="2" t="s">
        <v>905</v>
      </c>
      <c r="B375" s="2" t="s">
        <v>174</v>
      </c>
      <c r="C375" s="2" t="s">
        <v>96</v>
      </c>
      <c r="D375" s="2" t="s">
        <v>73</v>
      </c>
      <c r="E375" s="2">
        <f>SUMIF('03_LOTES'!B:B, F375, '03_LOTES'!E:E)</f>
        <v>0</v>
      </c>
      <c r="F375" s="2">
        <f>A375 &amp; " | " &amp; B375 &amp; " | " &amp; C375</f>
        <v>0</v>
      </c>
      <c r="G375" s="2" t="s">
        <v>906</v>
      </c>
      <c r="I375" s="2" t="s">
        <v>53</v>
      </c>
    </row>
    <row r="376" spans="1:9">
      <c r="A376" s="2" t="s">
        <v>907</v>
      </c>
      <c r="B376" s="2" t="s">
        <v>225</v>
      </c>
      <c r="C376" s="2" t="s">
        <v>77</v>
      </c>
      <c r="D376" s="2" t="s">
        <v>73</v>
      </c>
      <c r="E376" s="2">
        <f>SUMIF('03_LOTES'!B:B, F376, '03_LOTES'!E:E)</f>
        <v>0</v>
      </c>
      <c r="F376" s="2">
        <f>A376 &amp; " | " &amp; B376 &amp; " | " &amp; C376</f>
        <v>0</v>
      </c>
      <c r="G376" s="2" t="s">
        <v>908</v>
      </c>
      <c r="I376" s="2" t="s">
        <v>53</v>
      </c>
    </row>
    <row r="377" spans="1:9">
      <c r="A377" s="2" t="s">
        <v>907</v>
      </c>
      <c r="B377" s="2" t="s">
        <v>102</v>
      </c>
      <c r="C377" s="2" t="s">
        <v>77</v>
      </c>
      <c r="D377" s="2" t="s">
        <v>73</v>
      </c>
      <c r="E377" s="2">
        <f>SUMIF('03_LOTES'!B:B, F377, '03_LOTES'!E:E)</f>
        <v>0</v>
      </c>
      <c r="F377" s="2">
        <f>A377 &amp; " | " &amp; B377 &amp; " | " &amp; C377</f>
        <v>0</v>
      </c>
      <c r="G377" s="2" t="s">
        <v>909</v>
      </c>
      <c r="I377" s="2" t="s">
        <v>53</v>
      </c>
    </row>
    <row r="378" spans="1:9">
      <c r="A378" s="2" t="s">
        <v>910</v>
      </c>
      <c r="B378" s="2" t="s">
        <v>911</v>
      </c>
      <c r="C378" s="2" t="s">
        <v>96</v>
      </c>
      <c r="D378" s="2" t="s">
        <v>73</v>
      </c>
      <c r="E378" s="2">
        <f>SUMIF('03_LOTES'!B:B, F378, '03_LOTES'!E:E)</f>
        <v>0</v>
      </c>
      <c r="F378" s="2">
        <f>A378 &amp; " | " &amp; B378 &amp; " | " &amp; C378</f>
        <v>0</v>
      </c>
      <c r="G378" s="2" t="s">
        <v>912</v>
      </c>
      <c r="I378" s="2" t="s">
        <v>53</v>
      </c>
    </row>
    <row r="379" spans="1:9">
      <c r="A379" s="2" t="s">
        <v>913</v>
      </c>
      <c r="B379" s="2" t="s">
        <v>168</v>
      </c>
      <c r="C379" s="2" t="s">
        <v>77</v>
      </c>
      <c r="D379" s="2" t="s">
        <v>73</v>
      </c>
      <c r="E379" s="2">
        <f>SUMIF('03_LOTES'!B:B, F379, '03_LOTES'!E:E)</f>
        <v>0</v>
      </c>
      <c r="F379" s="2">
        <f>A379 &amp; " | " &amp; B379 &amp; " | " &amp; C379</f>
        <v>0</v>
      </c>
      <c r="G379" s="2" t="s">
        <v>914</v>
      </c>
      <c r="I379" s="2" t="s">
        <v>53</v>
      </c>
    </row>
    <row r="380" spans="1:9">
      <c r="A380" s="2" t="s">
        <v>915</v>
      </c>
      <c r="B380" s="2" t="s">
        <v>168</v>
      </c>
      <c r="C380" s="2" t="s">
        <v>219</v>
      </c>
      <c r="D380" s="2" t="s">
        <v>73</v>
      </c>
      <c r="E380" s="2">
        <f>SUMIF('03_LOTES'!B:B, F380, '03_LOTES'!E:E)</f>
        <v>0</v>
      </c>
      <c r="F380" s="2">
        <f>A380 &amp; " | " &amp; B380 &amp; " | " &amp; C380</f>
        <v>0</v>
      </c>
      <c r="G380" s="2" t="s">
        <v>916</v>
      </c>
      <c r="I380" s="2" t="s">
        <v>53</v>
      </c>
    </row>
    <row r="381" spans="1:9">
      <c r="A381" s="2" t="s">
        <v>915</v>
      </c>
      <c r="B381" s="2" t="s">
        <v>225</v>
      </c>
      <c r="C381" s="2" t="s">
        <v>537</v>
      </c>
      <c r="D381" s="2" t="s">
        <v>73</v>
      </c>
      <c r="E381" s="2">
        <f>SUMIF('03_LOTES'!B:B, F381, '03_LOTES'!E:E)</f>
        <v>0</v>
      </c>
      <c r="F381" s="2">
        <f>A381 &amp; " | " &amp; B381 &amp; " | " &amp; C381</f>
        <v>0</v>
      </c>
      <c r="G381" s="2" t="s">
        <v>917</v>
      </c>
      <c r="I381" s="2" t="s">
        <v>53</v>
      </c>
    </row>
    <row r="382" spans="1:9">
      <c r="A382" s="2" t="s">
        <v>918</v>
      </c>
      <c r="B382" s="2" t="s">
        <v>919</v>
      </c>
      <c r="C382" s="2" t="s">
        <v>96</v>
      </c>
      <c r="D382" s="2" t="s">
        <v>73</v>
      </c>
      <c r="E382" s="2">
        <f>SUMIF('03_LOTES'!B:B, F382, '03_LOTES'!E:E)</f>
        <v>0</v>
      </c>
      <c r="F382" s="2">
        <f>A382 &amp; " | " &amp; B382 &amp; " | " &amp; C382</f>
        <v>0</v>
      </c>
      <c r="G382" s="2" t="s">
        <v>920</v>
      </c>
      <c r="I382" s="2" t="s">
        <v>53</v>
      </c>
    </row>
    <row r="383" spans="1:9">
      <c r="A383" s="2" t="s">
        <v>921</v>
      </c>
      <c r="B383" s="2" t="s">
        <v>922</v>
      </c>
      <c r="C383" s="2" t="s">
        <v>96</v>
      </c>
      <c r="D383" s="2" t="s">
        <v>73</v>
      </c>
      <c r="E383" s="2">
        <f>SUMIF('03_LOTES'!B:B, F383, '03_LOTES'!E:E)</f>
        <v>0</v>
      </c>
      <c r="F383" s="2">
        <f>A383 &amp; " | " &amp; B383 &amp; " | " &amp; C383</f>
        <v>0</v>
      </c>
      <c r="G383" s="2" t="s">
        <v>923</v>
      </c>
      <c r="I383" s="2" t="s">
        <v>53</v>
      </c>
    </row>
    <row r="384" spans="1:9">
      <c r="A384" s="2" t="s">
        <v>924</v>
      </c>
      <c r="B384" s="2" t="s">
        <v>925</v>
      </c>
      <c r="C384" s="2" t="s">
        <v>96</v>
      </c>
      <c r="D384" s="2" t="s">
        <v>61</v>
      </c>
      <c r="E384" s="2">
        <f>SUMIF('03_LOTES'!B:B, F384, '03_LOTES'!E:E)</f>
        <v>0</v>
      </c>
      <c r="F384" s="2">
        <f>A384 &amp; " | " &amp; B384 &amp; " | " &amp; C384</f>
        <v>0</v>
      </c>
      <c r="G384" s="2" t="s">
        <v>926</v>
      </c>
      <c r="I384" s="2" t="s">
        <v>53</v>
      </c>
    </row>
    <row r="385" spans="1:9">
      <c r="A385" s="2" t="s">
        <v>927</v>
      </c>
      <c r="B385" s="2" t="s">
        <v>925</v>
      </c>
      <c r="C385" s="2" t="s">
        <v>96</v>
      </c>
      <c r="D385" s="2" t="s">
        <v>61</v>
      </c>
      <c r="E385" s="2">
        <f>SUMIF('03_LOTES'!B:B, F385, '03_LOTES'!E:E)</f>
        <v>0</v>
      </c>
      <c r="F385" s="2">
        <f>A385 &amp; " | " &amp; B385 &amp; " | " &amp; C385</f>
        <v>0</v>
      </c>
      <c r="G385" s="2" t="s">
        <v>928</v>
      </c>
      <c r="I385" s="2" t="s">
        <v>53</v>
      </c>
    </row>
    <row r="386" spans="1:9">
      <c r="A386" s="2" t="s">
        <v>929</v>
      </c>
      <c r="B386" s="2" t="s">
        <v>925</v>
      </c>
      <c r="C386" s="2" t="s">
        <v>96</v>
      </c>
      <c r="D386" s="2" t="s">
        <v>61</v>
      </c>
      <c r="E386" s="2">
        <f>SUMIF('03_LOTES'!B:B, F386, '03_LOTES'!E:E)</f>
        <v>0</v>
      </c>
      <c r="F386" s="2">
        <f>A386 &amp; " | " &amp; B386 &amp; " | " &amp; C386</f>
        <v>0</v>
      </c>
      <c r="G386" s="2" t="s">
        <v>930</v>
      </c>
      <c r="I386" s="2" t="s">
        <v>53</v>
      </c>
    </row>
    <row r="387" spans="1:9">
      <c r="A387" s="2" t="s">
        <v>931</v>
      </c>
      <c r="B387" s="2" t="s">
        <v>925</v>
      </c>
      <c r="C387" s="2" t="s">
        <v>96</v>
      </c>
      <c r="D387" s="2" t="s">
        <v>61</v>
      </c>
      <c r="E387" s="2">
        <f>SUMIF('03_LOTES'!B:B, F387, '03_LOTES'!E:E)</f>
        <v>0</v>
      </c>
      <c r="F387" s="2">
        <f>A387 &amp; " | " &amp; B387 &amp; " | " &amp; C387</f>
        <v>0</v>
      </c>
      <c r="G387" s="2" t="s">
        <v>932</v>
      </c>
      <c r="I387" s="2" t="s">
        <v>53</v>
      </c>
    </row>
    <row r="388" spans="1:9">
      <c r="A388" s="2" t="s">
        <v>933</v>
      </c>
      <c r="B388" s="2" t="s">
        <v>934</v>
      </c>
      <c r="C388" s="2" t="s">
        <v>96</v>
      </c>
      <c r="D388" s="2" t="s">
        <v>73</v>
      </c>
      <c r="E388" s="2">
        <f>SUMIF('03_LOTES'!B:B, F388, '03_LOTES'!E:E)</f>
        <v>0</v>
      </c>
      <c r="F388" s="2">
        <f>A388 &amp; " | " &amp; B388 &amp; " | " &amp; C388</f>
        <v>0</v>
      </c>
      <c r="G388" s="2" t="s">
        <v>935</v>
      </c>
      <c r="I388" s="2" t="s">
        <v>53</v>
      </c>
    </row>
    <row r="389" spans="1:9">
      <c r="A389" s="2" t="s">
        <v>933</v>
      </c>
      <c r="B389" s="2" t="s">
        <v>936</v>
      </c>
      <c r="C389" s="2" t="s">
        <v>96</v>
      </c>
      <c r="D389" s="2" t="s">
        <v>73</v>
      </c>
      <c r="E389" s="2">
        <f>SUMIF('03_LOTES'!B:B, F389, '03_LOTES'!E:E)</f>
        <v>0</v>
      </c>
      <c r="F389" s="2">
        <f>A389 &amp; " | " &amp; B389 &amp; " | " &amp; C389</f>
        <v>0</v>
      </c>
      <c r="G389" s="2" t="s">
        <v>937</v>
      </c>
      <c r="I389" s="2" t="s">
        <v>53</v>
      </c>
    </row>
    <row r="390" spans="1:9">
      <c r="A390" s="2" t="s">
        <v>938</v>
      </c>
      <c r="B390" s="2" t="s">
        <v>939</v>
      </c>
      <c r="C390" s="2" t="s">
        <v>96</v>
      </c>
      <c r="D390" s="2" t="s">
        <v>73</v>
      </c>
      <c r="E390" s="2">
        <f>SUMIF('03_LOTES'!B:B, F390, '03_LOTES'!E:E)</f>
        <v>0</v>
      </c>
      <c r="F390" s="2">
        <f>A390 &amp; " | " &amp; B390 &amp; " | " &amp; C390</f>
        <v>0</v>
      </c>
      <c r="G390" s="2" t="s">
        <v>940</v>
      </c>
      <c r="I390" s="2" t="s">
        <v>53</v>
      </c>
    </row>
    <row r="391" spans="1:9">
      <c r="A391" s="2" t="s">
        <v>941</v>
      </c>
      <c r="B391" s="2" t="s">
        <v>640</v>
      </c>
      <c r="C391" s="2" t="s">
        <v>942</v>
      </c>
      <c r="D391" s="2" t="s">
        <v>73</v>
      </c>
      <c r="E391" s="2">
        <f>SUMIF('03_LOTES'!B:B, F391, '03_LOTES'!E:E)</f>
        <v>0</v>
      </c>
      <c r="F391" s="2">
        <f>A391 &amp; " | " &amp; B391 &amp; " | " &amp; C391</f>
        <v>0</v>
      </c>
      <c r="G391" s="2" t="s">
        <v>943</v>
      </c>
      <c r="I391" s="2" t="s">
        <v>53</v>
      </c>
    </row>
    <row r="392" spans="1:9">
      <c r="A392" s="2" t="s">
        <v>944</v>
      </c>
      <c r="B392" s="2" t="s">
        <v>945</v>
      </c>
      <c r="C392" s="2" t="s">
        <v>249</v>
      </c>
      <c r="D392" s="2" t="s">
        <v>73</v>
      </c>
      <c r="E392" s="2">
        <f>SUMIF('03_LOTES'!B:B, F392, '03_LOTES'!E:E)</f>
        <v>0</v>
      </c>
      <c r="F392" s="2">
        <f>A392 &amp; " | " &amp; B392 &amp; " | " &amp; C392</f>
        <v>0</v>
      </c>
      <c r="G392" s="2" t="s">
        <v>946</v>
      </c>
      <c r="I392" s="2" t="s">
        <v>53</v>
      </c>
    </row>
    <row r="393" spans="1:9">
      <c r="A393" s="2" t="s">
        <v>944</v>
      </c>
      <c r="B393" s="2" t="s">
        <v>95</v>
      </c>
      <c r="C393" s="2" t="s">
        <v>447</v>
      </c>
      <c r="D393" s="2" t="s">
        <v>73</v>
      </c>
      <c r="E393" s="2">
        <f>SUMIF('03_LOTES'!B:B, F393, '03_LOTES'!E:E)</f>
        <v>0</v>
      </c>
      <c r="F393" s="2">
        <f>A393 &amp; " | " &amp; B393 &amp; " | " &amp; C393</f>
        <v>0</v>
      </c>
      <c r="G393" s="2" t="s">
        <v>947</v>
      </c>
      <c r="I393" s="2" t="s">
        <v>53</v>
      </c>
    </row>
    <row r="394" spans="1:9">
      <c r="A394" s="2" t="s">
        <v>948</v>
      </c>
      <c r="B394" s="2" t="s">
        <v>949</v>
      </c>
      <c r="C394" s="2" t="s">
        <v>397</v>
      </c>
      <c r="D394" s="2" t="s">
        <v>73</v>
      </c>
      <c r="E394" s="2">
        <f>SUMIF('03_LOTES'!B:B, F394, '03_LOTES'!E:E)</f>
        <v>0</v>
      </c>
      <c r="F394" s="2">
        <f>A394 &amp; " | " &amp; B394 &amp; " | " &amp; C394</f>
        <v>0</v>
      </c>
      <c r="G394" s="2" t="s">
        <v>950</v>
      </c>
      <c r="I394" s="2" t="s">
        <v>53</v>
      </c>
    </row>
    <row r="395" spans="1:9">
      <c r="A395" s="2" t="s">
        <v>951</v>
      </c>
      <c r="B395" s="2" t="s">
        <v>952</v>
      </c>
      <c r="C395" s="2" t="s">
        <v>256</v>
      </c>
      <c r="D395" s="2" t="s">
        <v>73</v>
      </c>
      <c r="E395" s="2">
        <f>SUMIF('03_LOTES'!B:B, F395, '03_LOTES'!E:E)</f>
        <v>0</v>
      </c>
      <c r="F395" s="2">
        <f>A395 &amp; " | " &amp; B395 &amp; " | " &amp; C395</f>
        <v>0</v>
      </c>
      <c r="G395" s="2" t="s">
        <v>953</v>
      </c>
      <c r="I395" s="2" t="s">
        <v>53</v>
      </c>
    </row>
    <row r="396" spans="1:9">
      <c r="A396" s="2" t="s">
        <v>954</v>
      </c>
      <c r="B396" s="2" t="s">
        <v>382</v>
      </c>
      <c r="C396" s="2" t="s">
        <v>96</v>
      </c>
      <c r="D396" s="2" t="s">
        <v>73</v>
      </c>
      <c r="E396" s="2">
        <f>SUMIF('03_LOTES'!B:B, F396, '03_LOTES'!E:E)</f>
        <v>0</v>
      </c>
      <c r="F396" s="2">
        <f>A396 &amp; " | " &amp; B396 &amp; " | " &amp; C396</f>
        <v>0</v>
      </c>
      <c r="G396" s="2" t="s">
        <v>955</v>
      </c>
      <c r="I396" s="2" t="s">
        <v>53</v>
      </c>
    </row>
    <row r="397" spans="1:9">
      <c r="A397" s="2" t="s">
        <v>956</v>
      </c>
      <c r="B397" s="2" t="s">
        <v>225</v>
      </c>
      <c r="C397" s="2" t="s">
        <v>77</v>
      </c>
      <c r="D397" s="2" t="s">
        <v>73</v>
      </c>
      <c r="E397" s="2">
        <f>SUMIF('03_LOTES'!B:B, F397, '03_LOTES'!E:E)</f>
        <v>0</v>
      </c>
      <c r="F397" s="2">
        <f>A397 &amp; " | " &amp; B397 &amp; " | " &amp; C397</f>
        <v>0</v>
      </c>
      <c r="G397" s="2" t="s">
        <v>957</v>
      </c>
      <c r="I397" s="2" t="s">
        <v>53</v>
      </c>
    </row>
    <row r="398" spans="1:9">
      <c r="A398" s="2" t="s">
        <v>958</v>
      </c>
      <c r="B398" s="2" t="s">
        <v>229</v>
      </c>
      <c r="C398" s="2" t="s">
        <v>77</v>
      </c>
      <c r="D398" s="2" t="s">
        <v>73</v>
      </c>
      <c r="E398" s="2">
        <f>SUMIF('03_LOTES'!B:B, F398, '03_LOTES'!E:E)</f>
        <v>0</v>
      </c>
      <c r="F398" s="2">
        <f>A398 &amp; " | " &amp; B398 &amp; " | " &amp; C398</f>
        <v>0</v>
      </c>
      <c r="G398" s="2" t="s">
        <v>959</v>
      </c>
      <c r="I398" s="2" t="s">
        <v>53</v>
      </c>
    </row>
    <row r="399" spans="1:9">
      <c r="A399" s="2" t="s">
        <v>960</v>
      </c>
      <c r="B399" s="2" t="s">
        <v>961</v>
      </c>
      <c r="C399" s="2" t="s">
        <v>77</v>
      </c>
      <c r="D399" s="2" t="s">
        <v>73</v>
      </c>
      <c r="E399" s="2">
        <f>SUMIF('03_LOTES'!B:B, F399, '03_LOTES'!E:E)</f>
        <v>0</v>
      </c>
      <c r="F399" s="2">
        <f>A399 &amp; " | " &amp; B399 &amp; " | " &amp; C399</f>
        <v>0</v>
      </c>
      <c r="G399" s="2" t="s">
        <v>962</v>
      </c>
      <c r="I399" s="2" t="s">
        <v>53</v>
      </c>
    </row>
    <row r="400" spans="1:9">
      <c r="A400" s="2" t="s">
        <v>960</v>
      </c>
      <c r="B400" s="2" t="s">
        <v>963</v>
      </c>
      <c r="C400" s="2" t="s">
        <v>77</v>
      </c>
      <c r="D400" s="2" t="s">
        <v>73</v>
      </c>
      <c r="E400" s="2">
        <f>SUMIF('03_LOTES'!B:B, F400, '03_LOTES'!E:E)</f>
        <v>0</v>
      </c>
      <c r="F400" s="2">
        <f>A400 &amp; " | " &amp; B400 &amp; " | " &amp; C400</f>
        <v>0</v>
      </c>
      <c r="G400" s="2" t="s">
        <v>964</v>
      </c>
      <c r="I400" s="2" t="s">
        <v>53</v>
      </c>
    </row>
    <row r="401" spans="1:9">
      <c r="A401" s="2" t="s">
        <v>965</v>
      </c>
      <c r="B401" s="2" t="s">
        <v>174</v>
      </c>
      <c r="C401" s="2" t="s">
        <v>96</v>
      </c>
      <c r="D401" s="2" t="s">
        <v>73</v>
      </c>
      <c r="E401" s="2">
        <f>SUMIF('03_LOTES'!B:B, F401, '03_LOTES'!E:E)</f>
        <v>0</v>
      </c>
      <c r="F401" s="2">
        <f>A401 &amp; " | " &amp; B401 &amp; " | " &amp; C401</f>
        <v>0</v>
      </c>
      <c r="G401" s="2" t="s">
        <v>966</v>
      </c>
      <c r="I401" s="2" t="s">
        <v>53</v>
      </c>
    </row>
    <row r="402" spans="1:9">
      <c r="A402" s="2" t="s">
        <v>967</v>
      </c>
      <c r="B402" s="2" t="s">
        <v>165</v>
      </c>
      <c r="C402" s="2" t="s">
        <v>96</v>
      </c>
      <c r="D402" s="2" t="s">
        <v>73</v>
      </c>
      <c r="E402" s="2">
        <f>SUMIF('03_LOTES'!B:B, F402, '03_LOTES'!E:E)</f>
        <v>0</v>
      </c>
      <c r="F402" s="2">
        <f>A402 &amp; " | " &amp; B402 &amp; " | " &amp; C402</f>
        <v>0</v>
      </c>
      <c r="G402" s="2" t="s">
        <v>968</v>
      </c>
      <c r="I402" s="2" t="s">
        <v>53</v>
      </c>
    </row>
    <row r="403" spans="1:9">
      <c r="A403" s="2" t="s">
        <v>969</v>
      </c>
      <c r="B403" s="2" t="s">
        <v>225</v>
      </c>
      <c r="C403" s="2" t="s">
        <v>96</v>
      </c>
      <c r="D403" s="2" t="s">
        <v>73</v>
      </c>
      <c r="E403" s="2">
        <f>SUMIF('03_LOTES'!B:B, F403, '03_LOTES'!E:E)</f>
        <v>0</v>
      </c>
      <c r="F403" s="2">
        <f>A403 &amp; " | " &amp; B403 &amp; " | " &amp; C403</f>
        <v>0</v>
      </c>
      <c r="G403" s="2" t="s">
        <v>970</v>
      </c>
      <c r="I403" s="2" t="s">
        <v>53</v>
      </c>
    </row>
    <row r="404" spans="1:9">
      <c r="A404" s="2" t="s">
        <v>971</v>
      </c>
      <c r="B404" s="2" t="s">
        <v>972</v>
      </c>
      <c r="C404" s="2" t="s">
        <v>96</v>
      </c>
      <c r="D404" s="2" t="s">
        <v>51</v>
      </c>
      <c r="E404" s="2">
        <f>SUMIF('03_LOTES'!B:B, F404, '03_LOTES'!E:E)</f>
        <v>0</v>
      </c>
      <c r="F404" s="2">
        <f>A404 &amp; " | " &amp; B404 &amp; " | " &amp; C404</f>
        <v>0</v>
      </c>
      <c r="G404" s="2" t="s">
        <v>973</v>
      </c>
      <c r="I404" s="2" t="s">
        <v>53</v>
      </c>
    </row>
    <row r="405" spans="1:9">
      <c r="A405" s="2" t="s">
        <v>974</v>
      </c>
      <c r="B405" s="2" t="s">
        <v>192</v>
      </c>
      <c r="C405" s="2" t="s">
        <v>77</v>
      </c>
      <c r="D405" s="2" t="s">
        <v>73</v>
      </c>
      <c r="E405" s="2">
        <f>SUMIF('03_LOTES'!B:B, F405, '03_LOTES'!E:E)</f>
        <v>0</v>
      </c>
      <c r="F405" s="2">
        <f>A405 &amp; " | " &amp; B405 &amp; " | " &amp; C405</f>
        <v>0</v>
      </c>
      <c r="G405" s="2" t="s">
        <v>975</v>
      </c>
      <c r="I405" s="2" t="s">
        <v>53</v>
      </c>
    </row>
    <row r="406" spans="1:9">
      <c r="A406" s="2" t="s">
        <v>974</v>
      </c>
      <c r="B406" s="2" t="s">
        <v>617</v>
      </c>
      <c r="C406" s="2" t="s">
        <v>238</v>
      </c>
      <c r="D406" s="2" t="s">
        <v>73</v>
      </c>
      <c r="E406" s="2">
        <f>SUMIF('03_LOTES'!B:B, F406, '03_LOTES'!E:E)</f>
        <v>0</v>
      </c>
      <c r="F406" s="2">
        <f>A406 &amp; " | " &amp; B406 &amp; " | " &amp; C406</f>
        <v>0</v>
      </c>
      <c r="G406" s="2" t="s">
        <v>976</v>
      </c>
      <c r="I406" s="2" t="s">
        <v>53</v>
      </c>
    </row>
    <row r="407" spans="1:9">
      <c r="A407" s="2" t="s">
        <v>977</v>
      </c>
      <c r="B407" s="2" t="s">
        <v>229</v>
      </c>
      <c r="C407" s="2" t="s">
        <v>96</v>
      </c>
      <c r="D407" s="2" t="s">
        <v>73</v>
      </c>
      <c r="E407" s="2">
        <f>SUMIF('03_LOTES'!B:B, F407, '03_LOTES'!E:E)</f>
        <v>0</v>
      </c>
      <c r="F407" s="2">
        <f>A407 &amp; " | " &amp; B407 &amp; " | " &amp; C407</f>
        <v>0</v>
      </c>
      <c r="G407" s="2" t="s">
        <v>978</v>
      </c>
      <c r="I407" s="2" t="s">
        <v>53</v>
      </c>
    </row>
    <row r="408" spans="1:9">
      <c r="A408" s="2" t="s">
        <v>979</v>
      </c>
      <c r="B408" s="2" t="s">
        <v>980</v>
      </c>
      <c r="C408" s="2" t="s">
        <v>409</v>
      </c>
      <c r="D408" s="2" t="s">
        <v>73</v>
      </c>
      <c r="E408" s="2">
        <f>SUMIF('03_LOTES'!B:B, F408, '03_LOTES'!E:E)</f>
        <v>0</v>
      </c>
      <c r="F408" s="2">
        <f>A408 &amp; " | " &amp; B408 &amp; " | " &amp; C408</f>
        <v>0</v>
      </c>
      <c r="G408" s="2" t="s">
        <v>981</v>
      </c>
      <c r="I408" s="2" t="s">
        <v>53</v>
      </c>
    </row>
    <row r="409" spans="1:9">
      <c r="A409" s="2" t="s">
        <v>982</v>
      </c>
      <c r="B409" s="2" t="s">
        <v>368</v>
      </c>
      <c r="C409" s="2" t="s">
        <v>77</v>
      </c>
      <c r="D409" s="2" t="s">
        <v>73</v>
      </c>
      <c r="E409" s="2">
        <f>SUMIF('03_LOTES'!B:B, F409, '03_LOTES'!E:E)</f>
        <v>0</v>
      </c>
      <c r="F409" s="2">
        <f>A409 &amp; " | " &amp; B409 &amp; " | " &amp; C409</f>
        <v>0</v>
      </c>
      <c r="G409" s="2" t="s">
        <v>983</v>
      </c>
      <c r="I409" s="2" t="s">
        <v>53</v>
      </c>
    </row>
    <row r="410" spans="1:9">
      <c r="A410" s="2" t="s">
        <v>982</v>
      </c>
      <c r="B410" s="2" t="s">
        <v>232</v>
      </c>
      <c r="C410" s="2" t="s">
        <v>984</v>
      </c>
      <c r="D410" s="2" t="s">
        <v>73</v>
      </c>
      <c r="E410" s="2">
        <f>SUMIF('03_LOTES'!B:B, F410, '03_LOTES'!E:E)</f>
        <v>0</v>
      </c>
      <c r="F410" s="2">
        <f>A410 &amp; " | " &amp; B410 &amp; " | " &amp; C410</f>
        <v>0</v>
      </c>
      <c r="G410" s="2" t="s">
        <v>985</v>
      </c>
      <c r="I410" s="2" t="s">
        <v>53</v>
      </c>
    </row>
    <row r="411" spans="1:9">
      <c r="A411" s="2" t="s">
        <v>986</v>
      </c>
      <c r="B411" s="2" t="s">
        <v>168</v>
      </c>
      <c r="C411" s="2" t="s">
        <v>77</v>
      </c>
      <c r="D411" s="2" t="s">
        <v>73</v>
      </c>
      <c r="E411" s="2">
        <f>SUMIF('03_LOTES'!B:B, F411, '03_LOTES'!E:E)</f>
        <v>0</v>
      </c>
      <c r="F411" s="2">
        <f>A411 &amp; " | " &amp; B411 &amp; " | " &amp; C411</f>
        <v>0</v>
      </c>
      <c r="G411" s="2" t="s">
        <v>987</v>
      </c>
      <c r="I411" s="2" t="s">
        <v>53</v>
      </c>
    </row>
    <row r="412" spans="1:9">
      <c r="A412" s="2" t="s">
        <v>986</v>
      </c>
      <c r="B412" s="2" t="s">
        <v>151</v>
      </c>
      <c r="C412" s="2" t="s">
        <v>77</v>
      </c>
      <c r="D412" s="2" t="s">
        <v>73</v>
      </c>
      <c r="E412" s="2">
        <f>SUMIF('03_LOTES'!B:B, F412, '03_LOTES'!E:E)</f>
        <v>0</v>
      </c>
      <c r="F412" s="2">
        <f>A412 &amp; " | " &amp; B412 &amp; " | " &amp; C412</f>
        <v>0</v>
      </c>
      <c r="G412" s="2" t="s">
        <v>988</v>
      </c>
      <c r="I412" s="2" t="s">
        <v>53</v>
      </c>
    </row>
    <row r="413" spans="1:9">
      <c r="A413" s="2" t="s">
        <v>986</v>
      </c>
      <c r="B413" s="2" t="s">
        <v>225</v>
      </c>
      <c r="C413" s="2" t="s">
        <v>77</v>
      </c>
      <c r="D413" s="2" t="s">
        <v>73</v>
      </c>
      <c r="E413" s="2">
        <f>SUMIF('03_LOTES'!B:B, F413, '03_LOTES'!E:E)</f>
        <v>0</v>
      </c>
      <c r="F413" s="2">
        <f>A413 &amp; " | " &amp; B413 &amp; " | " &amp; C413</f>
        <v>0</v>
      </c>
      <c r="G413" s="2" t="s">
        <v>989</v>
      </c>
      <c r="I413" s="2" t="s">
        <v>53</v>
      </c>
    </row>
    <row r="414" spans="1:9">
      <c r="A414" s="2" t="s">
        <v>986</v>
      </c>
      <c r="B414" s="2" t="s">
        <v>107</v>
      </c>
      <c r="C414" s="2" t="s">
        <v>77</v>
      </c>
      <c r="D414" s="2" t="s">
        <v>73</v>
      </c>
      <c r="E414" s="2">
        <f>SUMIF('03_LOTES'!B:B, F414, '03_LOTES'!E:E)</f>
        <v>0</v>
      </c>
      <c r="F414" s="2">
        <f>A414 &amp; " | " &amp; B414 &amp; " | " &amp; C414</f>
        <v>0</v>
      </c>
      <c r="G414" s="2" t="s">
        <v>990</v>
      </c>
      <c r="I414" s="2" t="s">
        <v>53</v>
      </c>
    </row>
    <row r="415" spans="1:9">
      <c r="A415" s="2" t="s">
        <v>991</v>
      </c>
      <c r="B415" s="2" t="s">
        <v>992</v>
      </c>
      <c r="C415" s="2" t="s">
        <v>238</v>
      </c>
      <c r="D415" s="2" t="s">
        <v>73</v>
      </c>
      <c r="E415" s="2">
        <f>SUMIF('03_LOTES'!B:B, F415, '03_LOTES'!E:E)</f>
        <v>0</v>
      </c>
      <c r="F415" s="2">
        <f>A415 &amp; " | " &amp; B415 &amp; " | " &amp; C415</f>
        <v>0</v>
      </c>
      <c r="G415" s="2" t="s">
        <v>993</v>
      </c>
      <c r="I415" s="2" t="s">
        <v>53</v>
      </c>
    </row>
    <row r="416" spans="1:9">
      <c r="A416" s="2" t="s">
        <v>994</v>
      </c>
      <c r="B416" s="2" t="s">
        <v>995</v>
      </c>
      <c r="C416" s="2" t="s">
        <v>77</v>
      </c>
      <c r="D416" s="2" t="s">
        <v>73</v>
      </c>
      <c r="E416" s="2">
        <f>SUMIF('03_LOTES'!B:B, F416, '03_LOTES'!E:E)</f>
        <v>0</v>
      </c>
      <c r="F416" s="2">
        <f>A416 &amp; " | " &amp; B416 &amp; " | " &amp; C416</f>
        <v>0</v>
      </c>
      <c r="G416" s="2" t="s">
        <v>996</v>
      </c>
      <c r="I416" s="2" t="s">
        <v>53</v>
      </c>
    </row>
    <row r="417" spans="1:9">
      <c r="A417" s="2" t="s">
        <v>997</v>
      </c>
      <c r="B417" s="2" t="s">
        <v>229</v>
      </c>
      <c r="C417" s="2" t="s">
        <v>77</v>
      </c>
      <c r="D417" s="2" t="s">
        <v>73</v>
      </c>
      <c r="E417" s="2">
        <f>SUMIF('03_LOTES'!B:B, F417, '03_LOTES'!E:E)</f>
        <v>0</v>
      </c>
      <c r="F417" s="2">
        <f>A417 &amp; " | " &amp; B417 &amp; " | " &amp; C417</f>
        <v>0</v>
      </c>
      <c r="G417" s="2" t="s">
        <v>998</v>
      </c>
      <c r="I417" s="2" t="s">
        <v>53</v>
      </c>
    </row>
    <row r="418" spans="1:9">
      <c r="A418" s="2" t="s">
        <v>997</v>
      </c>
      <c r="B418" s="2" t="s">
        <v>225</v>
      </c>
      <c r="C418" s="2" t="s">
        <v>77</v>
      </c>
      <c r="D418" s="2" t="s">
        <v>73</v>
      </c>
      <c r="E418" s="2">
        <f>SUMIF('03_LOTES'!B:B, F418, '03_LOTES'!E:E)</f>
        <v>0</v>
      </c>
      <c r="F418" s="2">
        <f>A418 &amp; " | " &amp; B418 &amp; " | " &amp; C418</f>
        <v>0</v>
      </c>
      <c r="G418" s="2" t="s">
        <v>999</v>
      </c>
      <c r="I418" s="2" t="s">
        <v>53</v>
      </c>
    </row>
    <row r="419" spans="1:9">
      <c r="A419" s="2" t="s">
        <v>1000</v>
      </c>
      <c r="B419" s="2" t="s">
        <v>309</v>
      </c>
      <c r="C419" s="2" t="s">
        <v>83</v>
      </c>
      <c r="D419" s="2" t="s">
        <v>73</v>
      </c>
      <c r="E419" s="2">
        <f>SUMIF('03_LOTES'!B:B, F419, '03_LOTES'!E:E)</f>
        <v>0</v>
      </c>
      <c r="F419" s="2">
        <f>A419 &amp; " | " &amp; B419 &amp; " | " &amp; C419</f>
        <v>0</v>
      </c>
      <c r="G419" s="2" t="s">
        <v>1001</v>
      </c>
      <c r="I419" s="2" t="s">
        <v>53</v>
      </c>
    </row>
    <row r="420" spans="1:9">
      <c r="A420" s="2" t="s">
        <v>1000</v>
      </c>
      <c r="B420" s="2" t="s">
        <v>171</v>
      </c>
      <c r="C420" s="2" t="s">
        <v>83</v>
      </c>
      <c r="D420" s="2" t="s">
        <v>73</v>
      </c>
      <c r="E420" s="2">
        <f>SUMIF('03_LOTES'!B:B, F420, '03_LOTES'!E:E)</f>
        <v>0</v>
      </c>
      <c r="F420" s="2">
        <f>A420 &amp; " | " &amp; B420 &amp; " | " &amp; C420</f>
        <v>0</v>
      </c>
      <c r="G420" s="2" t="s">
        <v>1002</v>
      </c>
      <c r="I420" s="2" t="s">
        <v>53</v>
      </c>
    </row>
    <row r="421" spans="1:9">
      <c r="A421" s="2" t="s">
        <v>1000</v>
      </c>
      <c r="B421" s="2" t="s">
        <v>201</v>
      </c>
      <c r="C421" s="2" t="s">
        <v>83</v>
      </c>
      <c r="D421" s="2" t="s">
        <v>73</v>
      </c>
      <c r="E421" s="2">
        <f>SUMIF('03_LOTES'!B:B, F421, '03_LOTES'!E:E)</f>
        <v>0</v>
      </c>
      <c r="F421" s="2">
        <f>A421 &amp; " | " &amp; B421 &amp; " | " &amp; C421</f>
        <v>0</v>
      </c>
      <c r="G421" s="2" t="s">
        <v>1003</v>
      </c>
      <c r="I421" s="2" t="s">
        <v>53</v>
      </c>
    </row>
    <row r="422" spans="1:9">
      <c r="A422" s="2" t="s">
        <v>1000</v>
      </c>
      <c r="B422" s="2" t="s">
        <v>168</v>
      </c>
      <c r="C422" s="2" t="s">
        <v>83</v>
      </c>
      <c r="D422" s="2" t="s">
        <v>73</v>
      </c>
      <c r="E422" s="2">
        <f>SUMIF('03_LOTES'!B:B, F422, '03_LOTES'!E:E)</f>
        <v>0</v>
      </c>
      <c r="F422" s="2">
        <f>A422 &amp; " | " &amp; B422 &amp; " | " &amp; C422</f>
        <v>0</v>
      </c>
      <c r="G422" s="2" t="s">
        <v>1004</v>
      </c>
      <c r="I422" s="2" t="s">
        <v>53</v>
      </c>
    </row>
    <row r="423" spans="1:9">
      <c r="A423" s="2" t="s">
        <v>1005</v>
      </c>
      <c r="B423" s="2" t="s">
        <v>320</v>
      </c>
      <c r="C423" s="2" t="s">
        <v>77</v>
      </c>
      <c r="D423" s="2" t="s">
        <v>73</v>
      </c>
      <c r="E423" s="2">
        <f>SUMIF('03_LOTES'!B:B, F423, '03_LOTES'!E:E)</f>
        <v>0</v>
      </c>
      <c r="F423" s="2">
        <f>A423 &amp; " | " &amp; B423 &amp; " | " &amp; C423</f>
        <v>0</v>
      </c>
      <c r="G423" s="2" t="s">
        <v>1006</v>
      </c>
      <c r="I423" s="2" t="s">
        <v>53</v>
      </c>
    </row>
    <row r="424" spans="1:9">
      <c r="A424" s="2" t="s">
        <v>1007</v>
      </c>
      <c r="B424" s="2" t="s">
        <v>151</v>
      </c>
      <c r="C424" s="2" t="s">
        <v>96</v>
      </c>
      <c r="D424" s="2" t="s">
        <v>73</v>
      </c>
      <c r="E424" s="2">
        <f>SUMIF('03_LOTES'!B:B, F424, '03_LOTES'!E:E)</f>
        <v>0</v>
      </c>
      <c r="F424" s="2">
        <f>A424 &amp; " | " &amp; B424 &amp; " | " &amp; C424</f>
        <v>0</v>
      </c>
      <c r="G424" s="2" t="s">
        <v>1008</v>
      </c>
      <c r="I424" s="2" t="s">
        <v>53</v>
      </c>
    </row>
    <row r="425" spans="1:9">
      <c r="A425" s="2" t="s">
        <v>1009</v>
      </c>
      <c r="B425" s="2" t="s">
        <v>201</v>
      </c>
      <c r="C425" s="2" t="s">
        <v>77</v>
      </c>
      <c r="D425" s="2" t="s">
        <v>67</v>
      </c>
      <c r="E425" s="2">
        <f>SUMIF('03_LOTES'!B:B, F425, '03_LOTES'!E:E)</f>
        <v>0</v>
      </c>
      <c r="F425" s="2">
        <f>A425 &amp; " | " &amp; B425 &amp; " | " &amp; C425</f>
        <v>0</v>
      </c>
      <c r="G425" s="2" t="s">
        <v>1010</v>
      </c>
      <c r="I425" s="2" t="s">
        <v>53</v>
      </c>
    </row>
    <row r="426" spans="1:9">
      <c r="A426" s="2" t="s">
        <v>1011</v>
      </c>
      <c r="B426" s="2" t="s">
        <v>1012</v>
      </c>
      <c r="C426" s="2" t="s">
        <v>96</v>
      </c>
      <c r="D426" s="2" t="s">
        <v>73</v>
      </c>
      <c r="E426" s="2">
        <f>SUMIF('03_LOTES'!B:B, F426, '03_LOTES'!E:E)</f>
        <v>0</v>
      </c>
      <c r="F426" s="2">
        <f>A426 &amp; " | " &amp; B426 &amp; " | " &amp; C426</f>
        <v>0</v>
      </c>
      <c r="G426" s="2" t="s">
        <v>1013</v>
      </c>
      <c r="I426" s="2" t="s">
        <v>53</v>
      </c>
    </row>
    <row r="427" spans="1:9">
      <c r="A427" s="2" t="s">
        <v>1014</v>
      </c>
      <c r="B427" s="2" t="s">
        <v>1015</v>
      </c>
      <c r="C427" s="2" t="s">
        <v>77</v>
      </c>
      <c r="D427" s="2" t="s">
        <v>55</v>
      </c>
      <c r="E427" s="2">
        <f>SUMIF('03_LOTES'!B:B, F427, '03_LOTES'!E:E)</f>
        <v>0</v>
      </c>
      <c r="F427" s="2">
        <f>A427 &amp; " | " &amp; B427 &amp; " | " &amp; C427</f>
        <v>0</v>
      </c>
      <c r="G427" s="2" t="s">
        <v>1016</v>
      </c>
      <c r="I427" s="2" t="s">
        <v>53</v>
      </c>
    </row>
    <row r="428" spans="1:9">
      <c r="A428" s="2" t="s">
        <v>1017</v>
      </c>
      <c r="B428" s="2" t="s">
        <v>112</v>
      </c>
      <c r="C428" s="2" t="s">
        <v>77</v>
      </c>
      <c r="D428" s="2" t="s">
        <v>55</v>
      </c>
      <c r="E428" s="2">
        <f>SUMIF('03_LOTES'!B:B, F428, '03_LOTES'!E:E)</f>
        <v>0</v>
      </c>
      <c r="F428" s="2">
        <f>A428 &amp; " | " &amp; B428 &amp; " | " &amp; C428</f>
        <v>0</v>
      </c>
      <c r="G428" s="2" t="s">
        <v>1018</v>
      </c>
      <c r="I428" s="2" t="s">
        <v>53</v>
      </c>
    </row>
    <row r="429" spans="1:9">
      <c r="A429" s="2" t="s">
        <v>1017</v>
      </c>
      <c r="B429" s="2" t="s">
        <v>112</v>
      </c>
      <c r="C429" s="2" t="s">
        <v>96</v>
      </c>
      <c r="D429" s="2" t="s">
        <v>55</v>
      </c>
      <c r="E429" s="2">
        <f>SUMIF('03_LOTES'!B:B, F429, '03_LOTES'!E:E)</f>
        <v>0</v>
      </c>
      <c r="F429" s="2">
        <f>A429 &amp; " | " &amp; B429 &amp; " | " &amp; C429</f>
        <v>0</v>
      </c>
      <c r="G429" s="2" t="s">
        <v>1019</v>
      </c>
      <c r="I429" s="2" t="s">
        <v>53</v>
      </c>
    </row>
    <row r="430" spans="1:9">
      <c r="A430" s="2" t="s">
        <v>1020</v>
      </c>
      <c r="B430" s="2" t="s">
        <v>1021</v>
      </c>
      <c r="C430" s="2" t="s">
        <v>77</v>
      </c>
      <c r="D430" s="2" t="s">
        <v>55</v>
      </c>
      <c r="E430" s="2">
        <f>SUMIF('03_LOTES'!B:B, F430, '03_LOTES'!E:E)</f>
        <v>0</v>
      </c>
      <c r="F430" s="2">
        <f>A430 &amp; " | " &amp; B430 &amp; " | " &amp; C430</f>
        <v>0</v>
      </c>
      <c r="G430" s="2" t="s">
        <v>1022</v>
      </c>
      <c r="I430" s="2" t="s">
        <v>53</v>
      </c>
    </row>
    <row r="431" spans="1:9">
      <c r="A431" s="2" t="s">
        <v>1020</v>
      </c>
      <c r="B431" s="2" t="s">
        <v>368</v>
      </c>
      <c r="C431" s="2" t="s">
        <v>1023</v>
      </c>
      <c r="D431" s="2" t="s">
        <v>55</v>
      </c>
      <c r="E431" s="2">
        <f>SUMIF('03_LOTES'!B:B, F431, '03_LOTES'!E:E)</f>
        <v>0</v>
      </c>
      <c r="F431" s="2">
        <f>A431 &amp; " | " &amp; B431 &amp; " | " &amp; C431</f>
        <v>0</v>
      </c>
      <c r="G431" s="2" t="s">
        <v>1024</v>
      </c>
      <c r="I431" s="2" t="s">
        <v>53</v>
      </c>
    </row>
    <row r="432" spans="1:9">
      <c r="A432" s="2" t="s">
        <v>1020</v>
      </c>
      <c r="B432" s="2" t="s">
        <v>1025</v>
      </c>
      <c r="C432" s="2" t="s">
        <v>77</v>
      </c>
      <c r="D432" s="2" t="s">
        <v>55</v>
      </c>
      <c r="E432" s="2">
        <f>SUMIF('03_LOTES'!B:B, F432, '03_LOTES'!E:E)</f>
        <v>0</v>
      </c>
      <c r="F432" s="2">
        <f>A432 &amp; " | " &amp; B432 &amp; " | " &amp; C432</f>
        <v>0</v>
      </c>
      <c r="G432" s="2" t="s">
        <v>1026</v>
      </c>
      <c r="I432" s="2" t="s">
        <v>53</v>
      </c>
    </row>
    <row r="433" spans="1:9">
      <c r="A433" s="2" t="s">
        <v>1027</v>
      </c>
      <c r="B433" s="2" t="s">
        <v>1028</v>
      </c>
      <c r="C433" s="2" t="s">
        <v>77</v>
      </c>
      <c r="D433" s="2" t="s">
        <v>55</v>
      </c>
      <c r="E433" s="2">
        <f>SUMIF('03_LOTES'!B:B, F433, '03_LOTES'!E:E)</f>
        <v>0</v>
      </c>
      <c r="F433" s="2">
        <f>A433 &amp; " | " &amp; B433 &amp; " | " &amp; C433</f>
        <v>0</v>
      </c>
      <c r="G433" s="2" t="s">
        <v>1029</v>
      </c>
      <c r="I433" s="2" t="s">
        <v>53</v>
      </c>
    </row>
    <row r="434" spans="1:9">
      <c r="A434" s="2" t="s">
        <v>1030</v>
      </c>
      <c r="B434" s="2" t="s">
        <v>1031</v>
      </c>
      <c r="C434" s="2" t="s">
        <v>148</v>
      </c>
      <c r="D434" s="2" t="s">
        <v>55</v>
      </c>
      <c r="E434" s="2">
        <f>SUMIF('03_LOTES'!B:B, F434, '03_LOTES'!E:E)</f>
        <v>0</v>
      </c>
      <c r="F434" s="2">
        <f>A434 &amp; " | " &amp; B434 &amp; " | " &amp; C434</f>
        <v>0</v>
      </c>
      <c r="G434" s="2" t="s">
        <v>1032</v>
      </c>
      <c r="I434" s="2" t="s">
        <v>53</v>
      </c>
    </row>
    <row r="435" spans="1:9">
      <c r="A435" s="2" t="s">
        <v>1030</v>
      </c>
      <c r="B435" s="2" t="s">
        <v>1033</v>
      </c>
      <c r="C435" s="2" t="s">
        <v>77</v>
      </c>
      <c r="D435" s="2" t="s">
        <v>55</v>
      </c>
      <c r="E435" s="2">
        <f>SUMIF('03_LOTES'!B:B, F435, '03_LOTES'!E:E)</f>
        <v>0</v>
      </c>
      <c r="F435" s="2">
        <f>A435 &amp; " | " &amp; B435 &amp; " | " &amp; C435</f>
        <v>0</v>
      </c>
      <c r="G435" s="2" t="s">
        <v>1034</v>
      </c>
      <c r="I435" s="2" t="s">
        <v>53</v>
      </c>
    </row>
    <row r="436" spans="1:9">
      <c r="A436" s="2" t="s">
        <v>1035</v>
      </c>
      <c r="B436" s="2" t="s">
        <v>640</v>
      </c>
      <c r="C436" s="2" t="s">
        <v>1036</v>
      </c>
      <c r="D436" s="2" t="s">
        <v>73</v>
      </c>
      <c r="E436" s="2">
        <f>SUMIF('03_LOTES'!B:B, F436, '03_LOTES'!E:E)</f>
        <v>0</v>
      </c>
      <c r="F436" s="2">
        <f>A436 &amp; " | " &amp; B436 &amp; " | " &amp; C436</f>
        <v>0</v>
      </c>
      <c r="G436" s="2" t="s">
        <v>1037</v>
      </c>
      <c r="I436" s="2" t="s">
        <v>53</v>
      </c>
    </row>
    <row r="437" spans="1:9">
      <c r="A437" s="2" t="s">
        <v>1035</v>
      </c>
      <c r="B437" s="2" t="s">
        <v>640</v>
      </c>
      <c r="C437" s="2" t="s">
        <v>1038</v>
      </c>
      <c r="D437" s="2" t="s">
        <v>73</v>
      </c>
      <c r="E437" s="2">
        <f>SUMIF('03_LOTES'!B:B, F437, '03_LOTES'!E:E)</f>
        <v>0</v>
      </c>
      <c r="F437" s="2">
        <f>A437 &amp; " | " &amp; B437 &amp; " | " &amp; C437</f>
        <v>0</v>
      </c>
      <c r="G437" s="2" t="s">
        <v>1039</v>
      </c>
      <c r="I437" s="2" t="s">
        <v>53</v>
      </c>
    </row>
    <row r="438" spans="1:9">
      <c r="A438" s="2" t="s">
        <v>1040</v>
      </c>
      <c r="B438" s="2" t="s">
        <v>95</v>
      </c>
      <c r="C438" s="2" t="s">
        <v>1041</v>
      </c>
      <c r="D438" s="2" t="s">
        <v>73</v>
      </c>
      <c r="E438" s="2">
        <f>SUMIF('03_LOTES'!B:B, F438, '03_LOTES'!E:E)</f>
        <v>0</v>
      </c>
      <c r="F438" s="2">
        <f>A438 &amp; " | " &amp; B438 &amp; " | " &amp; C438</f>
        <v>0</v>
      </c>
      <c r="G438" s="2" t="s">
        <v>1042</v>
      </c>
      <c r="I438" s="2" t="s">
        <v>53</v>
      </c>
    </row>
    <row r="439" spans="1:9">
      <c r="A439" s="2" t="s">
        <v>1043</v>
      </c>
      <c r="B439" s="2" t="s">
        <v>1044</v>
      </c>
      <c r="C439" s="2" t="s">
        <v>96</v>
      </c>
      <c r="D439" s="2" t="s">
        <v>73</v>
      </c>
      <c r="E439" s="2">
        <f>SUMIF('03_LOTES'!B:B, F439, '03_LOTES'!E:E)</f>
        <v>0</v>
      </c>
      <c r="F439" s="2">
        <f>A439 &amp; " | " &amp; B439 &amp; " | " &amp; C439</f>
        <v>0</v>
      </c>
      <c r="G439" s="2" t="s">
        <v>1045</v>
      </c>
      <c r="I439" s="2" t="s">
        <v>53</v>
      </c>
    </row>
    <row r="440" spans="1:9">
      <c r="A440" s="2" t="s">
        <v>1043</v>
      </c>
      <c r="B440" s="2" t="s">
        <v>1044</v>
      </c>
      <c r="C440" s="2" t="s">
        <v>1038</v>
      </c>
      <c r="D440" s="2" t="s">
        <v>73</v>
      </c>
      <c r="E440" s="2">
        <f>SUMIF('03_LOTES'!B:B, F440, '03_LOTES'!E:E)</f>
        <v>0</v>
      </c>
      <c r="F440" s="2">
        <f>A440 &amp; " | " &amp; B440 &amp; " | " &amp; C440</f>
        <v>0</v>
      </c>
      <c r="G440" s="2" t="s">
        <v>1046</v>
      </c>
      <c r="I440" s="2" t="s">
        <v>53</v>
      </c>
    </row>
    <row r="441" spans="1:9">
      <c r="A441" s="2" t="s">
        <v>1047</v>
      </c>
      <c r="B441" s="2" t="s">
        <v>640</v>
      </c>
      <c r="C441" s="2" t="s">
        <v>96</v>
      </c>
      <c r="D441" s="2" t="s">
        <v>73</v>
      </c>
      <c r="E441" s="2">
        <f>SUMIF('03_LOTES'!B:B, F441, '03_LOTES'!E:E)</f>
        <v>0</v>
      </c>
      <c r="F441" s="2">
        <f>A441 &amp; " | " &amp; B441 &amp; " | " &amp; C441</f>
        <v>0</v>
      </c>
      <c r="G441" s="2" t="s">
        <v>1048</v>
      </c>
      <c r="I441" s="2" t="s">
        <v>53</v>
      </c>
    </row>
    <row r="442" spans="1:9">
      <c r="A442" s="2" t="s">
        <v>1049</v>
      </c>
      <c r="B442" s="2" t="s">
        <v>442</v>
      </c>
      <c r="C442" s="2" t="s">
        <v>77</v>
      </c>
      <c r="D442" s="2" t="s">
        <v>73</v>
      </c>
      <c r="E442" s="2">
        <f>SUMIF('03_LOTES'!B:B, F442, '03_LOTES'!E:E)</f>
        <v>0</v>
      </c>
      <c r="F442" s="2">
        <f>A442 &amp; " | " &amp; B442 &amp; " | " &amp; C442</f>
        <v>0</v>
      </c>
      <c r="G442" s="2" t="s">
        <v>1050</v>
      </c>
      <c r="I442" s="2" t="s">
        <v>53</v>
      </c>
    </row>
    <row r="443" spans="1:9">
      <c r="A443" s="2" t="s">
        <v>1051</v>
      </c>
      <c r="B443" s="2" t="s">
        <v>76</v>
      </c>
      <c r="C443" s="2" t="s">
        <v>77</v>
      </c>
      <c r="D443" s="2" t="s">
        <v>73</v>
      </c>
      <c r="E443" s="2">
        <f>SUMIF('03_LOTES'!B:B, F443, '03_LOTES'!E:E)</f>
        <v>0</v>
      </c>
      <c r="F443" s="2">
        <f>A443 &amp; " | " &amp; B443 &amp; " | " &amp; C443</f>
        <v>0</v>
      </c>
      <c r="G443" s="2" t="s">
        <v>1052</v>
      </c>
      <c r="I443" s="2" t="s">
        <v>53</v>
      </c>
    </row>
    <row r="444" spans="1:9">
      <c r="A444" s="2" t="s">
        <v>1053</v>
      </c>
      <c r="B444" s="2" t="s">
        <v>335</v>
      </c>
      <c r="C444" s="2" t="s">
        <v>219</v>
      </c>
      <c r="D444" s="2" t="s">
        <v>73</v>
      </c>
      <c r="E444" s="2">
        <f>SUMIF('03_LOTES'!B:B, F444, '03_LOTES'!E:E)</f>
        <v>0</v>
      </c>
      <c r="F444" s="2">
        <f>A444 &amp; " | " &amp; B444 &amp; " | " &amp; C444</f>
        <v>0</v>
      </c>
      <c r="G444" s="2" t="s">
        <v>1054</v>
      </c>
      <c r="I444" s="2" t="s">
        <v>53</v>
      </c>
    </row>
    <row r="445" spans="1:9">
      <c r="A445" s="2" t="s">
        <v>1055</v>
      </c>
      <c r="B445" s="2" t="s">
        <v>1056</v>
      </c>
      <c r="C445" s="2" t="s">
        <v>77</v>
      </c>
      <c r="D445" s="2" t="s">
        <v>73</v>
      </c>
      <c r="E445" s="2">
        <f>SUMIF('03_LOTES'!B:B, F445, '03_LOTES'!E:E)</f>
        <v>0</v>
      </c>
      <c r="F445" s="2">
        <f>A445 &amp; " | " &amp; B445 &amp; " | " &amp; C445</f>
        <v>0</v>
      </c>
      <c r="G445" s="2" t="s">
        <v>1057</v>
      </c>
      <c r="I445" s="2" t="s">
        <v>53</v>
      </c>
    </row>
    <row r="446" spans="1:9">
      <c r="A446" s="2" t="s">
        <v>1055</v>
      </c>
      <c r="B446" s="2" t="s">
        <v>1058</v>
      </c>
      <c r="C446" s="2" t="s">
        <v>409</v>
      </c>
      <c r="D446" s="2" t="s">
        <v>73</v>
      </c>
      <c r="E446" s="2">
        <f>SUMIF('03_LOTES'!B:B, F446, '03_LOTES'!E:E)</f>
        <v>0</v>
      </c>
      <c r="F446" s="2">
        <f>A446 &amp; " | " &amp; B446 &amp; " | " &amp; C446</f>
        <v>0</v>
      </c>
      <c r="G446" s="2" t="s">
        <v>1059</v>
      </c>
      <c r="I446" s="2" t="s">
        <v>53</v>
      </c>
    </row>
    <row r="447" spans="1:9">
      <c r="A447" s="2" t="s">
        <v>1060</v>
      </c>
      <c r="B447" s="2" t="s">
        <v>151</v>
      </c>
      <c r="C447" s="2" t="s">
        <v>77</v>
      </c>
      <c r="D447" s="2" t="s">
        <v>73</v>
      </c>
      <c r="E447" s="2">
        <f>SUMIF('03_LOTES'!B:B, F447, '03_LOTES'!E:E)</f>
        <v>0</v>
      </c>
      <c r="F447" s="2">
        <f>A447 &amp; " | " &amp; B447 &amp; " | " &amp; C447</f>
        <v>0</v>
      </c>
      <c r="G447" s="2" t="s">
        <v>1061</v>
      </c>
      <c r="I447" s="2" t="s">
        <v>53</v>
      </c>
    </row>
    <row r="448" spans="1:9">
      <c r="A448" s="2" t="s">
        <v>1062</v>
      </c>
      <c r="B448" s="2" t="s">
        <v>1063</v>
      </c>
      <c r="C448" s="2" t="s">
        <v>238</v>
      </c>
      <c r="D448" s="2" t="s">
        <v>73</v>
      </c>
      <c r="E448" s="2">
        <f>SUMIF('03_LOTES'!B:B, F448, '03_LOTES'!E:E)</f>
        <v>0</v>
      </c>
      <c r="F448" s="2">
        <f>A448 &amp; " | " &amp; B448 &amp; " | " &amp; C448</f>
        <v>0</v>
      </c>
      <c r="G448" s="2" t="s">
        <v>1064</v>
      </c>
      <c r="I448" s="2" t="s">
        <v>53</v>
      </c>
    </row>
    <row r="449" spans="1:9">
      <c r="A449" s="2" t="s">
        <v>1062</v>
      </c>
      <c r="B449" s="2" t="s">
        <v>1063</v>
      </c>
      <c r="C449" s="2" t="s">
        <v>1065</v>
      </c>
      <c r="D449" s="2" t="s">
        <v>73</v>
      </c>
      <c r="E449" s="2">
        <f>SUMIF('03_LOTES'!B:B, F449, '03_LOTES'!E:E)</f>
        <v>0</v>
      </c>
      <c r="F449" s="2">
        <f>A449 &amp; " | " &amp; B449 &amp; " | " &amp; C449</f>
        <v>0</v>
      </c>
      <c r="G449" s="2" t="s">
        <v>1066</v>
      </c>
      <c r="I449" s="2" t="s">
        <v>53</v>
      </c>
    </row>
    <row r="450" spans="1:9">
      <c r="A450" s="2" t="s">
        <v>1067</v>
      </c>
      <c r="B450" s="2" t="s">
        <v>225</v>
      </c>
      <c r="C450" s="2" t="s">
        <v>77</v>
      </c>
      <c r="D450" s="2" t="s">
        <v>73</v>
      </c>
      <c r="E450" s="2">
        <f>SUMIF('03_LOTES'!B:B, F450, '03_LOTES'!E:E)</f>
        <v>0</v>
      </c>
      <c r="F450" s="2">
        <f>A450 &amp; " | " &amp; B450 &amp; " | " &amp; C450</f>
        <v>0</v>
      </c>
      <c r="G450" s="2" t="s">
        <v>1068</v>
      </c>
      <c r="I450" s="2" t="s">
        <v>53</v>
      </c>
    </row>
    <row r="451" spans="1:9">
      <c r="A451" s="2" t="s">
        <v>1067</v>
      </c>
      <c r="B451" s="2" t="s">
        <v>382</v>
      </c>
      <c r="C451" s="2" t="s">
        <v>105</v>
      </c>
      <c r="D451" s="2" t="s">
        <v>73</v>
      </c>
      <c r="E451" s="2">
        <f>SUMIF('03_LOTES'!B:B, F451, '03_LOTES'!E:E)</f>
        <v>0</v>
      </c>
      <c r="F451" s="2">
        <f>A451 &amp; " | " &amp; B451 &amp; " | " &amp; C451</f>
        <v>0</v>
      </c>
      <c r="G451" s="2" t="s">
        <v>1069</v>
      </c>
      <c r="I451" s="2" t="s">
        <v>53</v>
      </c>
    </row>
    <row r="452" spans="1:9">
      <c r="A452" s="2" t="s">
        <v>1067</v>
      </c>
      <c r="B452" s="2" t="s">
        <v>112</v>
      </c>
      <c r="C452" s="2" t="s">
        <v>77</v>
      </c>
      <c r="D452" s="2" t="s">
        <v>73</v>
      </c>
      <c r="E452" s="2">
        <f>SUMIF('03_LOTES'!B:B, F452, '03_LOTES'!E:E)</f>
        <v>0</v>
      </c>
      <c r="F452" s="2">
        <f>A452 &amp; " | " &amp; B452 &amp; " | " &amp; C452</f>
        <v>0</v>
      </c>
      <c r="G452" s="2" t="s">
        <v>1070</v>
      </c>
      <c r="I452" s="2" t="s">
        <v>53</v>
      </c>
    </row>
    <row r="453" spans="1:9">
      <c r="A453" s="2" t="s">
        <v>1071</v>
      </c>
      <c r="B453" s="2" t="s">
        <v>1072</v>
      </c>
      <c r="C453" s="2" t="s">
        <v>96</v>
      </c>
      <c r="D453" s="2" t="s">
        <v>73</v>
      </c>
      <c r="E453" s="2">
        <f>SUMIF('03_LOTES'!B:B, F453, '03_LOTES'!E:E)</f>
        <v>0</v>
      </c>
      <c r="F453" s="2">
        <f>A453 &amp; " | " &amp; B453 &amp; " | " &amp; C453</f>
        <v>0</v>
      </c>
      <c r="G453" s="2" t="s">
        <v>1073</v>
      </c>
      <c r="I453" s="2" t="s">
        <v>53</v>
      </c>
    </row>
    <row r="454" spans="1:9">
      <c r="A454" s="2" t="s">
        <v>1071</v>
      </c>
      <c r="B454" s="2" t="s">
        <v>171</v>
      </c>
      <c r="C454" s="2" t="s">
        <v>77</v>
      </c>
      <c r="D454" s="2" t="s">
        <v>73</v>
      </c>
      <c r="E454" s="2">
        <f>SUMIF('03_LOTES'!B:B, F454, '03_LOTES'!E:E)</f>
        <v>0</v>
      </c>
      <c r="F454" s="2">
        <f>A454 &amp; " | " &amp; B454 &amp; " | " &amp; C454</f>
        <v>0</v>
      </c>
      <c r="G454" s="2" t="s">
        <v>1074</v>
      </c>
      <c r="I454" s="2" t="s">
        <v>53</v>
      </c>
    </row>
    <row r="455" spans="1:9">
      <c r="A455" s="2" t="s">
        <v>1071</v>
      </c>
      <c r="B455" s="2" t="s">
        <v>1075</v>
      </c>
      <c r="C455" s="2" t="s">
        <v>96</v>
      </c>
      <c r="D455" s="2" t="s">
        <v>73</v>
      </c>
      <c r="E455" s="2">
        <f>SUMIF('03_LOTES'!B:B, F455, '03_LOTES'!E:E)</f>
        <v>0</v>
      </c>
      <c r="F455" s="2">
        <f>A455 &amp; " | " &amp; B455 &amp; " | " &amp; C455</f>
        <v>0</v>
      </c>
      <c r="G455" s="2" t="s">
        <v>1076</v>
      </c>
      <c r="I455" s="2" t="s">
        <v>53</v>
      </c>
    </row>
    <row r="456" spans="1:9">
      <c r="A456" s="2" t="s">
        <v>1077</v>
      </c>
      <c r="B456" s="2" t="s">
        <v>80</v>
      </c>
      <c r="C456" s="2" t="s">
        <v>77</v>
      </c>
      <c r="D456" s="2" t="s">
        <v>73</v>
      </c>
      <c r="E456" s="2">
        <f>SUMIF('03_LOTES'!B:B, F456, '03_LOTES'!E:E)</f>
        <v>0</v>
      </c>
      <c r="F456" s="2">
        <f>A456 &amp; " | " &amp; B456 &amp; " | " &amp; C456</f>
        <v>0</v>
      </c>
      <c r="G456" s="2" t="s">
        <v>1078</v>
      </c>
      <c r="I456" s="2" t="s">
        <v>53</v>
      </c>
    </row>
    <row r="457" spans="1:9">
      <c r="A457" s="2" t="s">
        <v>1079</v>
      </c>
      <c r="B457" s="2" t="s">
        <v>1080</v>
      </c>
      <c r="C457" s="2" t="s">
        <v>96</v>
      </c>
      <c r="D457" s="2" t="s">
        <v>73</v>
      </c>
      <c r="E457" s="2">
        <f>SUMIF('03_LOTES'!B:B, F457, '03_LOTES'!E:E)</f>
        <v>0</v>
      </c>
      <c r="F457" s="2">
        <f>A457 &amp; " | " &amp; B457 &amp; " | " &amp; C457</f>
        <v>0</v>
      </c>
      <c r="G457" s="2" t="s">
        <v>1081</v>
      </c>
      <c r="I457" s="2" t="s">
        <v>53</v>
      </c>
    </row>
    <row r="458" spans="1:9">
      <c r="A458" s="2" t="s">
        <v>1082</v>
      </c>
      <c r="B458" s="2" t="s">
        <v>1083</v>
      </c>
      <c r="C458" s="2" t="s">
        <v>96</v>
      </c>
      <c r="D458" s="2" t="s">
        <v>73</v>
      </c>
      <c r="E458" s="2">
        <f>SUMIF('03_LOTES'!B:B, F458, '03_LOTES'!E:E)</f>
        <v>0</v>
      </c>
      <c r="F458" s="2">
        <f>A458 &amp; " | " &amp; B458 &amp; " | " &amp; C458</f>
        <v>0</v>
      </c>
      <c r="G458" s="2" t="s">
        <v>1084</v>
      </c>
      <c r="I458" s="2" t="s">
        <v>53</v>
      </c>
    </row>
    <row r="459" spans="1:9">
      <c r="A459" s="2" t="s">
        <v>1082</v>
      </c>
      <c r="B459" s="2" t="s">
        <v>1085</v>
      </c>
      <c r="C459" s="2" t="s">
        <v>96</v>
      </c>
      <c r="D459" s="2" t="s">
        <v>73</v>
      </c>
      <c r="E459" s="2">
        <f>SUMIF('03_LOTES'!B:B, F459, '03_LOTES'!E:E)</f>
        <v>0</v>
      </c>
      <c r="F459" s="2">
        <f>A459 &amp; " | " &amp; B459 &amp; " | " &amp; C459</f>
        <v>0</v>
      </c>
      <c r="G459" s="2" t="s">
        <v>1086</v>
      </c>
      <c r="I459" s="2" t="s">
        <v>53</v>
      </c>
    </row>
    <row r="460" spans="1:9">
      <c r="A460" s="2" t="s">
        <v>1087</v>
      </c>
      <c r="B460" s="2" t="s">
        <v>151</v>
      </c>
      <c r="C460" s="2" t="s">
        <v>96</v>
      </c>
      <c r="D460" s="2" t="s">
        <v>73</v>
      </c>
      <c r="E460" s="2">
        <f>SUMIF('03_LOTES'!B:B, F460, '03_LOTES'!E:E)</f>
        <v>0</v>
      </c>
      <c r="F460" s="2">
        <f>A460 &amp; " | " &amp; B460 &amp; " | " &amp; C460</f>
        <v>0</v>
      </c>
      <c r="G460" s="2" t="s">
        <v>1088</v>
      </c>
      <c r="I460" s="2" t="s">
        <v>53</v>
      </c>
    </row>
    <row r="461" spans="1:9">
      <c r="A461" s="2" t="s">
        <v>1089</v>
      </c>
      <c r="B461" s="2" t="s">
        <v>335</v>
      </c>
      <c r="C461" s="2" t="s">
        <v>77</v>
      </c>
      <c r="D461" s="2" t="s">
        <v>73</v>
      </c>
      <c r="E461" s="2">
        <f>SUMIF('03_LOTES'!B:B, F461, '03_LOTES'!E:E)</f>
        <v>0</v>
      </c>
      <c r="F461" s="2">
        <f>A461 &amp; " | " &amp; B461 &amp; " | " &amp; C461</f>
        <v>0</v>
      </c>
      <c r="G461" s="2" t="s">
        <v>1090</v>
      </c>
      <c r="I461" s="2" t="s">
        <v>53</v>
      </c>
    </row>
    <row r="462" spans="1:9">
      <c r="A462" s="2" t="s">
        <v>1091</v>
      </c>
      <c r="B462" s="2" t="s">
        <v>201</v>
      </c>
      <c r="C462" s="2" t="s">
        <v>77</v>
      </c>
      <c r="D462" s="2" t="s">
        <v>73</v>
      </c>
      <c r="E462" s="2">
        <f>SUMIF('03_LOTES'!B:B, F462, '03_LOTES'!E:E)</f>
        <v>0</v>
      </c>
      <c r="F462" s="2">
        <f>A462 &amp; " | " &amp; B462 &amp; " | " &amp; C462</f>
        <v>0</v>
      </c>
      <c r="G462" s="2" t="s">
        <v>1092</v>
      </c>
      <c r="I462" s="2" t="s">
        <v>53</v>
      </c>
    </row>
    <row r="463" spans="1:9">
      <c r="A463" s="2" t="s">
        <v>1093</v>
      </c>
      <c r="B463" s="2" t="s">
        <v>151</v>
      </c>
      <c r="C463" s="2" t="s">
        <v>148</v>
      </c>
      <c r="D463" s="2" t="s">
        <v>73</v>
      </c>
      <c r="E463" s="2">
        <f>SUMIF('03_LOTES'!B:B, F463, '03_LOTES'!E:E)</f>
        <v>0</v>
      </c>
      <c r="F463" s="2">
        <f>A463 &amp; " | " &amp; B463 &amp; " | " &amp; C463</f>
        <v>0</v>
      </c>
      <c r="G463" s="2" t="s">
        <v>1094</v>
      </c>
      <c r="I463" s="2" t="s">
        <v>53</v>
      </c>
    </row>
    <row r="464" spans="1:9">
      <c r="A464" s="2" t="s">
        <v>1095</v>
      </c>
      <c r="B464" s="2" t="s">
        <v>112</v>
      </c>
      <c r="C464" s="2" t="s">
        <v>96</v>
      </c>
      <c r="D464" s="2" t="s">
        <v>73</v>
      </c>
      <c r="E464" s="2">
        <f>SUMIF('03_LOTES'!B:B, F464, '03_LOTES'!E:E)</f>
        <v>0</v>
      </c>
      <c r="F464" s="2">
        <f>A464 &amp; " | " &amp; B464 &amp; " | " &amp; C464</f>
        <v>0</v>
      </c>
      <c r="G464" s="2" t="s">
        <v>1096</v>
      </c>
      <c r="I464" s="2" t="s">
        <v>53</v>
      </c>
    </row>
    <row r="465" spans="1:9">
      <c r="A465" s="2" t="s">
        <v>1097</v>
      </c>
      <c r="B465" s="2" t="s">
        <v>112</v>
      </c>
      <c r="C465" s="2" t="s">
        <v>77</v>
      </c>
      <c r="D465" s="2" t="s">
        <v>73</v>
      </c>
      <c r="E465" s="2">
        <f>SUMIF('03_LOTES'!B:B, F465, '03_LOTES'!E:E)</f>
        <v>0</v>
      </c>
      <c r="F465" s="2">
        <f>A465 &amp; " | " &amp; B465 &amp; " | " &amp; C465</f>
        <v>0</v>
      </c>
      <c r="G465" s="2" t="s">
        <v>1098</v>
      </c>
      <c r="I465" s="2" t="s">
        <v>53</v>
      </c>
    </row>
    <row r="466" spans="1:9">
      <c r="A466" s="2" t="s">
        <v>1097</v>
      </c>
      <c r="B466" s="2" t="s">
        <v>1099</v>
      </c>
      <c r="C466" s="2" t="s">
        <v>537</v>
      </c>
      <c r="D466" s="2" t="s">
        <v>73</v>
      </c>
      <c r="E466" s="2">
        <f>SUMIF('03_LOTES'!B:B, F466, '03_LOTES'!E:E)</f>
        <v>0</v>
      </c>
      <c r="F466" s="2">
        <f>A466 &amp; " | " &amp; B466 &amp; " | " &amp; C466</f>
        <v>0</v>
      </c>
      <c r="G466" s="2" t="s">
        <v>1100</v>
      </c>
      <c r="I466" s="2" t="s">
        <v>53</v>
      </c>
    </row>
    <row r="467" spans="1:9">
      <c r="A467" s="2" t="s">
        <v>1101</v>
      </c>
      <c r="B467" s="2" t="s">
        <v>102</v>
      </c>
      <c r="C467" s="2" t="s">
        <v>96</v>
      </c>
      <c r="D467" s="2" t="s">
        <v>73</v>
      </c>
      <c r="E467" s="2">
        <f>SUMIF('03_LOTES'!B:B, F467, '03_LOTES'!E:E)</f>
        <v>0</v>
      </c>
      <c r="F467" s="2">
        <f>A467 &amp; " | " &amp; B467 &amp; " | " &amp; C467</f>
        <v>0</v>
      </c>
      <c r="G467" s="2" t="s">
        <v>1102</v>
      </c>
      <c r="I467" s="2" t="s">
        <v>53</v>
      </c>
    </row>
    <row r="468" spans="1:9">
      <c r="A468" s="2" t="s">
        <v>1103</v>
      </c>
      <c r="B468" s="2" t="s">
        <v>309</v>
      </c>
      <c r="C468" s="2" t="s">
        <v>77</v>
      </c>
      <c r="D468" s="2" t="s">
        <v>73</v>
      </c>
      <c r="E468" s="2">
        <f>SUMIF('03_LOTES'!B:B, F468, '03_LOTES'!E:E)</f>
        <v>0</v>
      </c>
      <c r="F468" s="2">
        <f>A468 &amp; " | " &amp; B468 &amp; " | " &amp; C468</f>
        <v>0</v>
      </c>
      <c r="G468" s="2" t="s">
        <v>1104</v>
      </c>
      <c r="I468" s="2" t="s">
        <v>53</v>
      </c>
    </row>
    <row r="469" spans="1:9">
      <c r="A469" s="2" t="s">
        <v>1105</v>
      </c>
      <c r="B469" s="2" t="s">
        <v>174</v>
      </c>
      <c r="C469" s="2" t="s">
        <v>96</v>
      </c>
      <c r="D469" s="2" t="s">
        <v>73</v>
      </c>
      <c r="E469" s="2">
        <f>SUMIF('03_LOTES'!B:B, F469, '03_LOTES'!E:E)</f>
        <v>0</v>
      </c>
      <c r="F469" s="2">
        <f>A469 &amp; " | " &amp; B469 &amp; " | " &amp; C469</f>
        <v>0</v>
      </c>
      <c r="G469" s="2" t="s">
        <v>1106</v>
      </c>
      <c r="I469" s="2" t="s">
        <v>53</v>
      </c>
    </row>
    <row r="470" spans="1:9">
      <c r="A470" s="2" t="s">
        <v>1107</v>
      </c>
      <c r="B470" s="2" t="s">
        <v>1108</v>
      </c>
      <c r="C470" s="2" t="s">
        <v>77</v>
      </c>
      <c r="D470" s="2" t="s">
        <v>61</v>
      </c>
      <c r="E470" s="2">
        <f>SUMIF('03_LOTES'!B:B, F470, '03_LOTES'!E:E)</f>
        <v>0</v>
      </c>
      <c r="F470" s="2">
        <f>A470 &amp; " | " &amp; B470 &amp; " | " &amp; C470</f>
        <v>0</v>
      </c>
      <c r="G470" s="2" t="s">
        <v>1109</v>
      </c>
      <c r="I470" s="2" t="s">
        <v>53</v>
      </c>
    </row>
    <row r="471" spans="1:9">
      <c r="A471" s="2" t="s">
        <v>1107</v>
      </c>
      <c r="B471" s="2" t="s">
        <v>112</v>
      </c>
      <c r="C471" s="2" t="s">
        <v>77</v>
      </c>
      <c r="D471" s="2" t="s">
        <v>61</v>
      </c>
      <c r="E471" s="2">
        <f>SUMIF('03_LOTES'!B:B, F471, '03_LOTES'!E:E)</f>
        <v>0</v>
      </c>
      <c r="F471" s="2">
        <f>A471 &amp; " | " &amp; B471 &amp; " | " &amp; C471</f>
        <v>0</v>
      </c>
      <c r="G471" s="2" t="s">
        <v>1110</v>
      </c>
      <c r="I471" s="2" t="s">
        <v>53</v>
      </c>
    </row>
    <row r="472" spans="1:9">
      <c r="A472" s="2" t="s">
        <v>1111</v>
      </c>
      <c r="B472" s="2" t="s">
        <v>112</v>
      </c>
      <c r="C472" s="2" t="s">
        <v>77</v>
      </c>
      <c r="D472" s="2" t="s">
        <v>73</v>
      </c>
      <c r="E472" s="2">
        <f>SUMIF('03_LOTES'!B:B, F472, '03_LOTES'!E:E)</f>
        <v>0</v>
      </c>
      <c r="F472" s="2">
        <f>A472 &amp; " | " &amp; B472 &amp; " | " &amp; C472</f>
        <v>0</v>
      </c>
      <c r="G472" s="2" t="s">
        <v>1112</v>
      </c>
      <c r="I472" s="2" t="s">
        <v>53</v>
      </c>
    </row>
    <row r="473" spans="1:9">
      <c r="A473" s="2" t="s">
        <v>1113</v>
      </c>
      <c r="B473" s="2" t="s">
        <v>171</v>
      </c>
      <c r="C473" s="2" t="s">
        <v>77</v>
      </c>
      <c r="D473" s="2" t="s">
        <v>73</v>
      </c>
      <c r="E473" s="2">
        <f>SUMIF('03_LOTES'!B:B, F473, '03_LOTES'!E:E)</f>
        <v>0</v>
      </c>
      <c r="F473" s="2">
        <f>A473 &amp; " | " &amp; B473 &amp; " | " &amp; C473</f>
        <v>0</v>
      </c>
      <c r="G473" s="2" t="s">
        <v>1114</v>
      </c>
      <c r="I473" s="2" t="s">
        <v>53</v>
      </c>
    </row>
    <row r="474" spans="1:9">
      <c r="A474" s="2" t="s">
        <v>1115</v>
      </c>
      <c r="B474" s="2" t="s">
        <v>112</v>
      </c>
      <c r="C474" s="2" t="s">
        <v>96</v>
      </c>
      <c r="D474" s="2" t="s">
        <v>73</v>
      </c>
      <c r="E474" s="2">
        <f>SUMIF('03_LOTES'!B:B, F474, '03_LOTES'!E:E)</f>
        <v>0</v>
      </c>
      <c r="F474" s="2">
        <f>A474 &amp; " | " &amp; B474 &amp; " | " &amp; C474</f>
        <v>0</v>
      </c>
      <c r="G474" s="2" t="s">
        <v>1116</v>
      </c>
      <c r="I474" s="2" t="s">
        <v>53</v>
      </c>
    </row>
    <row r="475" spans="1:9">
      <c r="A475" s="2" t="s">
        <v>1117</v>
      </c>
      <c r="B475" s="2" t="s">
        <v>171</v>
      </c>
      <c r="C475" s="2" t="s">
        <v>77</v>
      </c>
      <c r="D475" s="2" t="s">
        <v>73</v>
      </c>
      <c r="E475" s="2">
        <f>SUMIF('03_LOTES'!B:B, F475, '03_LOTES'!E:E)</f>
        <v>0</v>
      </c>
      <c r="F475" s="2">
        <f>A475 &amp; " | " &amp; B475 &amp; " | " &amp; C475</f>
        <v>0</v>
      </c>
      <c r="G475" s="2" t="s">
        <v>1118</v>
      </c>
      <c r="I475" s="2" t="s">
        <v>53</v>
      </c>
    </row>
    <row r="476" spans="1:9">
      <c r="A476" s="2" t="s">
        <v>1117</v>
      </c>
      <c r="B476" s="2" t="s">
        <v>1119</v>
      </c>
      <c r="C476" s="2" t="s">
        <v>96</v>
      </c>
      <c r="D476" s="2" t="s">
        <v>73</v>
      </c>
      <c r="E476" s="2">
        <f>SUMIF('03_LOTES'!B:B, F476, '03_LOTES'!E:E)</f>
        <v>0</v>
      </c>
      <c r="F476" s="2">
        <f>A476 &amp; " | " &amp; B476 &amp; " | " &amp; C476</f>
        <v>0</v>
      </c>
      <c r="G476" s="2" t="s">
        <v>1120</v>
      </c>
      <c r="I476" s="2" t="s">
        <v>53</v>
      </c>
    </row>
    <row r="477" spans="1:9">
      <c r="A477" s="2" t="s">
        <v>1117</v>
      </c>
      <c r="B477" s="2" t="s">
        <v>1121</v>
      </c>
      <c r="C477" s="2" t="s">
        <v>339</v>
      </c>
      <c r="D477" s="2" t="s">
        <v>73</v>
      </c>
      <c r="E477" s="2">
        <f>SUMIF('03_LOTES'!B:B, F477, '03_LOTES'!E:E)</f>
        <v>0</v>
      </c>
      <c r="F477" s="2">
        <f>A477 &amp; " | " &amp; B477 &amp; " | " &amp; C477</f>
        <v>0</v>
      </c>
      <c r="G477" s="2" t="s">
        <v>1122</v>
      </c>
      <c r="I477" s="2" t="s">
        <v>53</v>
      </c>
    </row>
    <row r="478" spans="1:9">
      <c r="A478" s="2" t="s">
        <v>1123</v>
      </c>
      <c r="B478" s="2" t="s">
        <v>151</v>
      </c>
      <c r="C478" s="2" t="s">
        <v>96</v>
      </c>
      <c r="D478" s="2" t="s">
        <v>73</v>
      </c>
      <c r="E478" s="2">
        <f>SUMIF('03_LOTES'!B:B, F478, '03_LOTES'!E:E)</f>
        <v>0</v>
      </c>
      <c r="F478" s="2">
        <f>A478 &amp; " | " &amp; B478 &amp; " | " &amp; C478</f>
        <v>0</v>
      </c>
      <c r="G478" s="2" t="s">
        <v>1124</v>
      </c>
      <c r="I478" s="2" t="s">
        <v>53</v>
      </c>
    </row>
    <row r="479" spans="1:9">
      <c r="A479" s="2" t="s">
        <v>1123</v>
      </c>
      <c r="B479" s="2" t="s">
        <v>112</v>
      </c>
      <c r="C479" s="2" t="s">
        <v>96</v>
      </c>
      <c r="D479" s="2" t="s">
        <v>73</v>
      </c>
      <c r="E479" s="2">
        <f>SUMIF('03_LOTES'!B:B, F479, '03_LOTES'!E:E)</f>
        <v>0</v>
      </c>
      <c r="F479" s="2">
        <f>A479 &amp; " | " &amp; B479 &amp; " | " &amp; C479</f>
        <v>0</v>
      </c>
      <c r="G479" s="2" t="s">
        <v>1125</v>
      </c>
      <c r="I479" s="2" t="s">
        <v>53</v>
      </c>
    </row>
    <row r="480" spans="1:9">
      <c r="A480" s="2" t="s">
        <v>1123</v>
      </c>
      <c r="B480" s="2" t="s">
        <v>320</v>
      </c>
      <c r="C480" s="2" t="s">
        <v>77</v>
      </c>
      <c r="D480" s="2" t="s">
        <v>73</v>
      </c>
      <c r="E480" s="2">
        <f>SUMIF('03_LOTES'!B:B, F480, '03_LOTES'!E:E)</f>
        <v>0</v>
      </c>
      <c r="F480" s="2">
        <f>A480 &amp; " | " &amp; B480 &amp; " | " &amp; C480</f>
        <v>0</v>
      </c>
      <c r="G480" s="2" t="s">
        <v>1126</v>
      </c>
      <c r="I480" s="2" t="s">
        <v>53</v>
      </c>
    </row>
    <row r="481" spans="1:9">
      <c r="A481" s="2" t="s">
        <v>1127</v>
      </c>
      <c r="B481" s="2" t="s">
        <v>112</v>
      </c>
      <c r="C481" s="2" t="s">
        <v>495</v>
      </c>
      <c r="D481" s="2" t="s">
        <v>73</v>
      </c>
      <c r="E481" s="2">
        <f>SUMIF('03_LOTES'!B:B, F481, '03_LOTES'!E:E)</f>
        <v>0</v>
      </c>
      <c r="F481" s="2">
        <f>A481 &amp; " | " &amp; B481 &amp; " | " &amp; C481</f>
        <v>0</v>
      </c>
      <c r="G481" s="2" t="s">
        <v>1128</v>
      </c>
      <c r="I481" s="2" t="s">
        <v>53</v>
      </c>
    </row>
    <row r="482" spans="1:9">
      <c r="A482" s="2" t="s">
        <v>1127</v>
      </c>
      <c r="B482" s="2" t="s">
        <v>388</v>
      </c>
      <c r="C482" s="2" t="s">
        <v>105</v>
      </c>
      <c r="D482" s="2" t="s">
        <v>73</v>
      </c>
      <c r="E482" s="2">
        <f>SUMIF('03_LOTES'!B:B, F482, '03_LOTES'!E:E)</f>
        <v>0</v>
      </c>
      <c r="F482" s="2">
        <f>A482 &amp; " | " &amp; B482 &amp; " | " &amp; C482</f>
        <v>0</v>
      </c>
      <c r="G482" s="2" t="s">
        <v>1129</v>
      </c>
      <c r="I482" s="2" t="s">
        <v>53</v>
      </c>
    </row>
    <row r="483" spans="1:9">
      <c r="A483" s="2" t="s">
        <v>1127</v>
      </c>
      <c r="B483" s="2" t="s">
        <v>112</v>
      </c>
      <c r="C483" s="2" t="s">
        <v>96</v>
      </c>
      <c r="D483" s="2" t="s">
        <v>73</v>
      </c>
      <c r="E483" s="2">
        <f>SUMIF('03_LOTES'!B:B, F483, '03_LOTES'!E:E)</f>
        <v>0</v>
      </c>
      <c r="F483" s="2">
        <f>A483 &amp; " | " &amp; B483 &amp; " | " &amp; C483</f>
        <v>0</v>
      </c>
      <c r="G483" s="2" t="s">
        <v>1130</v>
      </c>
      <c r="I483" s="2" t="s">
        <v>53</v>
      </c>
    </row>
    <row r="484" spans="1:9">
      <c r="A484" s="2" t="s">
        <v>1127</v>
      </c>
      <c r="B484" s="2" t="s">
        <v>849</v>
      </c>
      <c r="C484" s="2" t="s">
        <v>105</v>
      </c>
      <c r="D484" s="2" t="s">
        <v>73</v>
      </c>
      <c r="E484" s="2">
        <f>SUMIF('03_LOTES'!B:B, F484, '03_LOTES'!E:E)</f>
        <v>0</v>
      </c>
      <c r="F484" s="2">
        <f>A484 &amp; " | " &amp; B484 &amp; " | " &amp; C484</f>
        <v>0</v>
      </c>
      <c r="G484" s="2" t="s">
        <v>1131</v>
      </c>
      <c r="I484" s="2" t="s">
        <v>53</v>
      </c>
    </row>
    <row r="485" spans="1:9">
      <c r="A485" s="2" t="s">
        <v>1127</v>
      </c>
      <c r="B485" s="2" t="s">
        <v>112</v>
      </c>
      <c r="C485" s="2" t="s">
        <v>77</v>
      </c>
      <c r="D485" s="2" t="s">
        <v>73</v>
      </c>
      <c r="E485" s="2">
        <f>SUMIF('03_LOTES'!B:B, F485, '03_LOTES'!E:E)</f>
        <v>0</v>
      </c>
      <c r="F485" s="2">
        <f>A485 &amp; " | " &amp; B485 &amp; " | " &amp; C485</f>
        <v>0</v>
      </c>
      <c r="G485" s="2" t="s">
        <v>1132</v>
      </c>
      <c r="I485" s="2" t="s">
        <v>53</v>
      </c>
    </row>
    <row r="486" spans="1:9">
      <c r="A486" s="2" t="s">
        <v>1133</v>
      </c>
      <c r="B486" s="2" t="s">
        <v>112</v>
      </c>
      <c r="C486" s="2" t="s">
        <v>77</v>
      </c>
      <c r="D486" s="2" t="s">
        <v>73</v>
      </c>
      <c r="E486" s="2">
        <f>SUMIF('03_LOTES'!B:B, F486, '03_LOTES'!E:E)</f>
        <v>0</v>
      </c>
      <c r="F486" s="2">
        <f>A486 &amp; " | " &amp; B486 &amp; " | " &amp; C486</f>
        <v>0</v>
      </c>
      <c r="G486" s="2" t="s">
        <v>1134</v>
      </c>
      <c r="I486" s="2" t="s">
        <v>53</v>
      </c>
    </row>
    <row r="487" spans="1:9">
      <c r="A487" s="2" t="s">
        <v>1135</v>
      </c>
      <c r="B487" s="2" t="s">
        <v>141</v>
      </c>
      <c r="C487" s="2" t="s">
        <v>299</v>
      </c>
      <c r="D487" s="2" t="s">
        <v>67</v>
      </c>
      <c r="E487" s="2">
        <f>SUMIF('03_LOTES'!B:B, F487, '03_LOTES'!E:E)</f>
        <v>0</v>
      </c>
      <c r="F487" s="2">
        <f>A487 &amp; " | " &amp; B487 &amp; " | " &amp; C487</f>
        <v>0</v>
      </c>
      <c r="G487" s="2" t="s">
        <v>1136</v>
      </c>
      <c r="I487" s="2" t="s">
        <v>53</v>
      </c>
    </row>
    <row r="488" spans="1:9">
      <c r="A488" s="2" t="s">
        <v>1137</v>
      </c>
      <c r="B488" s="2" t="s">
        <v>1138</v>
      </c>
      <c r="C488" s="2" t="s">
        <v>96</v>
      </c>
      <c r="D488" s="2" t="s">
        <v>73</v>
      </c>
      <c r="E488" s="2">
        <f>SUMIF('03_LOTES'!B:B, F488, '03_LOTES'!E:E)</f>
        <v>0</v>
      </c>
      <c r="F488" s="2">
        <f>A488 &amp; " | " &amp; B488 &amp; " | " &amp; C488</f>
        <v>0</v>
      </c>
      <c r="G488" s="2" t="s">
        <v>1139</v>
      </c>
      <c r="I488" s="2" t="s">
        <v>53</v>
      </c>
    </row>
    <row r="489" spans="1:9">
      <c r="A489" s="2" t="s">
        <v>1140</v>
      </c>
      <c r="B489" s="2" t="s">
        <v>107</v>
      </c>
      <c r="C489" s="2" t="s">
        <v>77</v>
      </c>
      <c r="D489" s="2" t="s">
        <v>73</v>
      </c>
      <c r="E489" s="2">
        <f>SUMIF('03_LOTES'!B:B, F489, '03_LOTES'!E:E)</f>
        <v>0</v>
      </c>
      <c r="F489" s="2">
        <f>A489 &amp; " | " &amp; B489 &amp; " | " &amp; C489</f>
        <v>0</v>
      </c>
      <c r="G489" s="2" t="s">
        <v>1141</v>
      </c>
      <c r="I489" s="2" t="s">
        <v>53</v>
      </c>
    </row>
    <row r="490" spans="1:9">
      <c r="A490" s="2" t="s">
        <v>1142</v>
      </c>
      <c r="B490" s="2" t="s">
        <v>235</v>
      </c>
      <c r="C490" s="2" t="s">
        <v>96</v>
      </c>
      <c r="D490" s="2" t="s">
        <v>73</v>
      </c>
      <c r="E490" s="2">
        <f>SUMIF('03_LOTES'!B:B, F490, '03_LOTES'!E:E)</f>
        <v>0</v>
      </c>
      <c r="F490" s="2">
        <f>A490 &amp; " | " &amp; B490 &amp; " | " &amp; C490</f>
        <v>0</v>
      </c>
      <c r="G490" s="2" t="s">
        <v>1143</v>
      </c>
      <c r="I490" s="2" t="s">
        <v>53</v>
      </c>
    </row>
    <row r="491" spans="1:9">
      <c r="A491" s="2" t="s">
        <v>1144</v>
      </c>
      <c r="B491" s="2" t="s">
        <v>225</v>
      </c>
      <c r="C491" s="2" t="s">
        <v>77</v>
      </c>
      <c r="D491" s="2" t="s">
        <v>73</v>
      </c>
      <c r="E491" s="2">
        <f>SUMIF('03_LOTES'!B:B, F491, '03_LOTES'!E:E)</f>
        <v>0</v>
      </c>
      <c r="F491" s="2">
        <f>A491 &amp; " | " &amp; B491 &amp; " | " &amp; C491</f>
        <v>0</v>
      </c>
      <c r="G491" s="2" t="s">
        <v>1145</v>
      </c>
      <c r="I491" s="2" t="s">
        <v>53</v>
      </c>
    </row>
    <row r="492" spans="1:9">
      <c r="A492" s="2" t="s">
        <v>1146</v>
      </c>
      <c r="B492" s="2" t="s">
        <v>1147</v>
      </c>
      <c r="C492" s="2" t="s">
        <v>77</v>
      </c>
      <c r="D492" s="2" t="s">
        <v>73</v>
      </c>
      <c r="E492" s="2">
        <f>SUMIF('03_LOTES'!B:B, F492, '03_LOTES'!E:E)</f>
        <v>0</v>
      </c>
      <c r="F492" s="2">
        <f>A492 &amp; " | " &amp; B492 &amp; " | " &amp; C492</f>
        <v>0</v>
      </c>
      <c r="G492" s="2" t="s">
        <v>1148</v>
      </c>
      <c r="I492" s="2" t="s">
        <v>53</v>
      </c>
    </row>
    <row r="493" spans="1:9">
      <c r="A493" s="2" t="s">
        <v>1146</v>
      </c>
      <c r="B493" s="2" t="s">
        <v>1149</v>
      </c>
      <c r="C493" s="2" t="s">
        <v>1150</v>
      </c>
      <c r="D493" s="2" t="s">
        <v>73</v>
      </c>
      <c r="E493" s="2">
        <f>SUMIF('03_LOTES'!B:B, F493, '03_LOTES'!E:E)</f>
        <v>0</v>
      </c>
      <c r="F493" s="2">
        <f>A493 &amp; " | " &amp; B493 &amp; " | " &amp; C493</f>
        <v>0</v>
      </c>
      <c r="G493" s="2" t="s">
        <v>1151</v>
      </c>
      <c r="I493" s="2" t="s">
        <v>53</v>
      </c>
    </row>
    <row r="494" spans="1:9">
      <c r="A494" s="2" t="s">
        <v>1152</v>
      </c>
      <c r="B494" s="2" t="s">
        <v>229</v>
      </c>
      <c r="C494" s="2" t="s">
        <v>96</v>
      </c>
      <c r="D494" s="2" t="s">
        <v>73</v>
      </c>
      <c r="E494" s="2">
        <f>SUMIF('03_LOTES'!B:B, F494, '03_LOTES'!E:E)</f>
        <v>0</v>
      </c>
      <c r="F494" s="2">
        <f>A494 &amp; " | " &amp; B494 &amp; " | " &amp; C494</f>
        <v>0</v>
      </c>
      <c r="G494" s="2" t="s">
        <v>1153</v>
      </c>
      <c r="I494" s="2" t="s">
        <v>53</v>
      </c>
    </row>
    <row r="495" spans="1:9">
      <c r="A495" s="2" t="s">
        <v>1154</v>
      </c>
      <c r="B495" s="2" t="s">
        <v>852</v>
      </c>
      <c r="C495" s="2" t="s">
        <v>96</v>
      </c>
      <c r="D495" s="2" t="s">
        <v>73</v>
      </c>
      <c r="E495" s="2">
        <f>SUMIF('03_LOTES'!B:B, F495, '03_LOTES'!E:E)</f>
        <v>0</v>
      </c>
      <c r="F495" s="2">
        <f>A495 &amp; " | " &amp; B495 &amp; " | " &amp; C495</f>
        <v>0</v>
      </c>
      <c r="G495" s="2" t="s">
        <v>1155</v>
      </c>
      <c r="I495" s="2" t="s">
        <v>53</v>
      </c>
    </row>
    <row r="496" spans="1:9">
      <c r="A496" s="2" t="s">
        <v>1156</v>
      </c>
      <c r="B496" s="2" t="s">
        <v>171</v>
      </c>
      <c r="C496" s="2" t="s">
        <v>351</v>
      </c>
      <c r="D496" s="2" t="s">
        <v>73</v>
      </c>
      <c r="E496" s="2">
        <f>SUMIF('03_LOTES'!B:B, F496, '03_LOTES'!E:E)</f>
        <v>0</v>
      </c>
      <c r="F496" s="2">
        <f>A496 &amp; " | " &amp; B496 &amp; " | " &amp; C496</f>
        <v>0</v>
      </c>
      <c r="G496" s="2" t="s">
        <v>1157</v>
      </c>
      <c r="I496" s="2" t="s">
        <v>53</v>
      </c>
    </row>
    <row r="497" spans="1:9">
      <c r="A497" s="2" t="s">
        <v>1156</v>
      </c>
      <c r="B497" s="2" t="s">
        <v>309</v>
      </c>
      <c r="C497" s="2" t="s">
        <v>77</v>
      </c>
      <c r="D497" s="2" t="s">
        <v>73</v>
      </c>
      <c r="E497" s="2">
        <f>SUMIF('03_LOTES'!B:B, F497, '03_LOTES'!E:E)</f>
        <v>0</v>
      </c>
      <c r="F497" s="2">
        <f>A497 &amp; " | " &amp; B497 &amp; " | " &amp; C497</f>
        <v>0</v>
      </c>
      <c r="G497" s="2" t="s">
        <v>1158</v>
      </c>
      <c r="I497" s="2" t="s">
        <v>53</v>
      </c>
    </row>
    <row r="498" spans="1:9">
      <c r="A498" s="2" t="s">
        <v>1159</v>
      </c>
      <c r="B498" s="2" t="s">
        <v>171</v>
      </c>
      <c r="C498" s="2" t="s">
        <v>219</v>
      </c>
      <c r="D498" s="2" t="s">
        <v>73</v>
      </c>
      <c r="E498" s="2">
        <f>SUMIF('03_LOTES'!B:B, F498, '03_LOTES'!E:E)</f>
        <v>0</v>
      </c>
      <c r="F498" s="2">
        <f>A498 &amp; " | " &amp; B498 &amp; " | " &amp; C498</f>
        <v>0</v>
      </c>
      <c r="G498" s="2" t="s">
        <v>1160</v>
      </c>
      <c r="I498" s="2" t="s">
        <v>53</v>
      </c>
    </row>
    <row r="499" spans="1:9">
      <c r="A499" s="2" t="s">
        <v>1161</v>
      </c>
      <c r="B499" s="2" t="s">
        <v>232</v>
      </c>
      <c r="C499" s="2" t="s">
        <v>96</v>
      </c>
      <c r="D499" s="2" t="s">
        <v>73</v>
      </c>
      <c r="E499" s="2">
        <f>SUMIF('03_LOTES'!B:B, F499, '03_LOTES'!E:E)</f>
        <v>0</v>
      </c>
      <c r="F499" s="2">
        <f>A499 &amp; " | " &amp; B499 &amp; " | " &amp; C499</f>
        <v>0</v>
      </c>
      <c r="G499" s="2" t="s">
        <v>1162</v>
      </c>
      <c r="I499" s="2" t="s">
        <v>53</v>
      </c>
    </row>
    <row r="500" spans="1:9">
      <c r="A500" s="2" t="s">
        <v>1163</v>
      </c>
      <c r="B500" s="2" t="s">
        <v>102</v>
      </c>
      <c r="C500" s="2" t="s">
        <v>77</v>
      </c>
      <c r="D500" s="2" t="s">
        <v>73</v>
      </c>
      <c r="E500" s="2">
        <f>SUMIF('03_LOTES'!B:B, F500, '03_LOTES'!E:E)</f>
        <v>0</v>
      </c>
      <c r="F500" s="2">
        <f>A500 &amp; " | " &amp; B500 &amp; " | " &amp; C500</f>
        <v>0</v>
      </c>
      <c r="G500" s="2" t="s">
        <v>1164</v>
      </c>
      <c r="I500" s="2" t="s">
        <v>53</v>
      </c>
    </row>
    <row r="501" spans="1:9">
      <c r="A501" s="2" t="s">
        <v>1165</v>
      </c>
      <c r="B501" s="2" t="s">
        <v>141</v>
      </c>
      <c r="C501" s="2" t="s">
        <v>77</v>
      </c>
      <c r="D501" s="2" t="s">
        <v>67</v>
      </c>
      <c r="E501" s="2">
        <f>SUMIF('03_LOTES'!B:B, F501, '03_LOTES'!E:E)</f>
        <v>0</v>
      </c>
      <c r="F501" s="2">
        <f>A501 &amp; " | " &amp; B501 &amp; " | " &amp; C501</f>
        <v>0</v>
      </c>
      <c r="G501" s="2" t="s">
        <v>1166</v>
      </c>
      <c r="I501" s="2" t="s">
        <v>53</v>
      </c>
    </row>
    <row r="502" spans="1:9">
      <c r="A502" s="2" t="s">
        <v>1165</v>
      </c>
      <c r="B502" s="2" t="s">
        <v>141</v>
      </c>
      <c r="C502" s="2" t="s">
        <v>397</v>
      </c>
      <c r="D502" s="2" t="s">
        <v>67</v>
      </c>
      <c r="E502" s="2">
        <f>SUMIF('03_LOTES'!B:B, F502, '03_LOTES'!E:E)</f>
        <v>0</v>
      </c>
      <c r="F502" s="2">
        <f>A502 &amp; " | " &amp; B502 &amp; " | " &amp; C502</f>
        <v>0</v>
      </c>
      <c r="G502" s="2" t="s">
        <v>1167</v>
      </c>
      <c r="I502" s="2" t="s">
        <v>53</v>
      </c>
    </row>
    <row r="503" spans="1:9">
      <c r="A503" s="2" t="s">
        <v>1165</v>
      </c>
      <c r="B503" s="2" t="s">
        <v>90</v>
      </c>
      <c r="C503" s="2" t="s">
        <v>1168</v>
      </c>
      <c r="D503" s="2" t="s">
        <v>67</v>
      </c>
      <c r="E503" s="2">
        <f>SUMIF('03_LOTES'!B:B, F503, '03_LOTES'!E:E)</f>
        <v>0</v>
      </c>
      <c r="F503" s="2">
        <f>A503 &amp; " | " &amp; B503 &amp; " | " &amp; C503</f>
        <v>0</v>
      </c>
      <c r="G503" s="2" t="s">
        <v>1169</v>
      </c>
      <c r="I503" s="2" t="s">
        <v>53</v>
      </c>
    </row>
    <row r="504" spans="1:9">
      <c r="A504" s="2" t="s">
        <v>1170</v>
      </c>
      <c r="B504" s="2" t="s">
        <v>290</v>
      </c>
      <c r="C504" s="2" t="s">
        <v>238</v>
      </c>
      <c r="D504" s="2" t="s">
        <v>73</v>
      </c>
      <c r="E504" s="2">
        <f>SUMIF('03_LOTES'!B:B, F504, '03_LOTES'!E:E)</f>
        <v>0</v>
      </c>
      <c r="F504" s="2">
        <f>A504 &amp; " | " &amp; B504 &amp; " | " &amp; C504</f>
        <v>0</v>
      </c>
      <c r="G504" s="2" t="s">
        <v>1171</v>
      </c>
      <c r="I504" s="2" t="s">
        <v>53</v>
      </c>
    </row>
    <row r="505" spans="1:9">
      <c r="A505" s="2" t="s">
        <v>1172</v>
      </c>
      <c r="B505" s="2" t="s">
        <v>1173</v>
      </c>
      <c r="C505" s="2" t="s">
        <v>96</v>
      </c>
      <c r="D505" s="2" t="s">
        <v>73</v>
      </c>
      <c r="E505" s="2">
        <f>SUMIF('03_LOTES'!B:B, F505, '03_LOTES'!E:E)</f>
        <v>0</v>
      </c>
      <c r="F505" s="2">
        <f>A505 &amp; " | " &amp; B505 &amp; " | " &amp; C505</f>
        <v>0</v>
      </c>
      <c r="G505" s="2" t="s">
        <v>1174</v>
      </c>
      <c r="I505" s="2" t="s">
        <v>53</v>
      </c>
    </row>
    <row r="506" spans="1:9">
      <c r="A506" s="2" t="s">
        <v>1175</v>
      </c>
      <c r="B506" s="2" t="s">
        <v>320</v>
      </c>
      <c r="C506" s="2" t="s">
        <v>77</v>
      </c>
      <c r="D506" s="2" t="s">
        <v>73</v>
      </c>
      <c r="E506" s="2">
        <f>SUMIF('03_LOTES'!B:B, F506, '03_LOTES'!E:E)</f>
        <v>0</v>
      </c>
      <c r="F506" s="2">
        <f>A506 &amp; " | " &amp; B506 &amp; " | " &amp; C506</f>
        <v>0</v>
      </c>
      <c r="G506" s="2" t="s">
        <v>1176</v>
      </c>
      <c r="I506" s="2" t="s">
        <v>53</v>
      </c>
    </row>
    <row r="507" spans="1:9">
      <c r="A507" s="2" t="s">
        <v>1177</v>
      </c>
      <c r="B507" s="2" t="s">
        <v>563</v>
      </c>
      <c r="C507" s="2" t="s">
        <v>96</v>
      </c>
      <c r="D507" s="2" t="s">
        <v>73</v>
      </c>
      <c r="E507" s="2">
        <f>SUMIF('03_LOTES'!B:B, F507, '03_LOTES'!E:E)</f>
        <v>0</v>
      </c>
      <c r="F507" s="2">
        <f>A507 &amp; " | " &amp; B507 &amp; " | " &amp; C507</f>
        <v>0</v>
      </c>
      <c r="G507" s="2" t="s">
        <v>1178</v>
      </c>
      <c r="I507" s="2" t="s">
        <v>53</v>
      </c>
    </row>
    <row r="508" spans="1:9">
      <c r="A508" s="2" t="s">
        <v>1179</v>
      </c>
      <c r="B508" s="2" t="s">
        <v>107</v>
      </c>
      <c r="C508" s="2" t="s">
        <v>77</v>
      </c>
      <c r="D508" s="2" t="s">
        <v>73</v>
      </c>
      <c r="E508" s="2">
        <f>SUMIF('03_LOTES'!B:B, F508, '03_LOTES'!E:E)</f>
        <v>0</v>
      </c>
      <c r="F508" s="2">
        <f>A508 &amp; " | " &amp; B508 &amp; " | " &amp; C508</f>
        <v>0</v>
      </c>
      <c r="G508" s="2" t="s">
        <v>1180</v>
      </c>
      <c r="I508" s="2" t="s">
        <v>53</v>
      </c>
    </row>
    <row r="509" spans="1:9">
      <c r="A509" s="2" t="s">
        <v>1179</v>
      </c>
      <c r="B509" s="2" t="s">
        <v>232</v>
      </c>
      <c r="C509" s="2" t="s">
        <v>105</v>
      </c>
      <c r="D509" s="2" t="s">
        <v>73</v>
      </c>
      <c r="E509" s="2">
        <f>SUMIF('03_LOTES'!B:B, F509, '03_LOTES'!E:E)</f>
        <v>0</v>
      </c>
      <c r="F509" s="2">
        <f>A509 &amp; " | " &amp; B509 &amp; " | " &amp; C509</f>
        <v>0</v>
      </c>
      <c r="G509" s="2" t="s">
        <v>1181</v>
      </c>
      <c r="I509" s="2" t="s">
        <v>53</v>
      </c>
    </row>
    <row r="510" spans="1:9">
      <c r="A510" s="2" t="s">
        <v>1182</v>
      </c>
      <c r="B510" s="2" t="s">
        <v>112</v>
      </c>
      <c r="C510" s="2" t="s">
        <v>77</v>
      </c>
      <c r="D510" s="2" t="s">
        <v>73</v>
      </c>
      <c r="E510" s="2">
        <f>SUMIF('03_LOTES'!B:B, F510, '03_LOTES'!E:E)</f>
        <v>0</v>
      </c>
      <c r="F510" s="2">
        <f>A510 &amp; " | " &amp; B510 &amp; " | " &amp; C510</f>
        <v>0</v>
      </c>
      <c r="G510" s="2" t="s">
        <v>1183</v>
      </c>
      <c r="I510" s="2" t="s">
        <v>53</v>
      </c>
    </row>
    <row r="511" spans="1:9">
      <c r="A511" s="2" t="s">
        <v>1184</v>
      </c>
      <c r="B511" s="2" t="s">
        <v>171</v>
      </c>
      <c r="C511" s="2" t="s">
        <v>351</v>
      </c>
      <c r="D511" s="2" t="s">
        <v>58</v>
      </c>
      <c r="E511" s="2">
        <f>SUMIF('03_LOTES'!B:B, F511, '03_LOTES'!E:E)</f>
        <v>0</v>
      </c>
      <c r="F511" s="2">
        <f>A511 &amp; " | " &amp; B511 &amp; " | " &amp; C511</f>
        <v>0</v>
      </c>
      <c r="G511" s="2" t="s">
        <v>1185</v>
      </c>
      <c r="I511" s="2" t="s">
        <v>53</v>
      </c>
    </row>
    <row r="512" spans="1:9">
      <c r="A512" s="2" t="s">
        <v>1186</v>
      </c>
      <c r="B512" s="2" t="s">
        <v>1187</v>
      </c>
      <c r="C512" s="2" t="s">
        <v>77</v>
      </c>
      <c r="D512" s="2" t="s">
        <v>73</v>
      </c>
      <c r="E512" s="2">
        <f>SUMIF('03_LOTES'!B:B, F512, '03_LOTES'!E:E)</f>
        <v>0</v>
      </c>
      <c r="F512" s="2">
        <f>A512 &amp; " | " &amp; B512 &amp; " | " &amp; C512</f>
        <v>0</v>
      </c>
      <c r="G512" s="2" t="s">
        <v>1188</v>
      </c>
      <c r="I512" s="2" t="s">
        <v>53</v>
      </c>
    </row>
    <row r="513" spans="1:9">
      <c r="A513" s="2" t="s">
        <v>1186</v>
      </c>
      <c r="B513" s="2" t="s">
        <v>503</v>
      </c>
      <c r="C513" s="2" t="s">
        <v>77</v>
      </c>
      <c r="D513" s="2" t="s">
        <v>73</v>
      </c>
      <c r="E513" s="2">
        <f>SUMIF('03_LOTES'!B:B, F513, '03_LOTES'!E:E)</f>
        <v>0</v>
      </c>
      <c r="F513" s="2">
        <f>A513 &amp; " | " &amp; B513 &amp; " | " &amp; C513</f>
        <v>0</v>
      </c>
      <c r="G513" s="2" t="s">
        <v>1189</v>
      </c>
      <c r="I513" s="2" t="s">
        <v>53</v>
      </c>
    </row>
    <row r="514" spans="1:9">
      <c r="A514" s="2" t="s">
        <v>1186</v>
      </c>
      <c r="B514" s="2" t="s">
        <v>80</v>
      </c>
      <c r="C514" s="2" t="s">
        <v>77</v>
      </c>
      <c r="D514" s="2" t="s">
        <v>73</v>
      </c>
      <c r="E514" s="2">
        <f>SUMIF('03_LOTES'!B:B, F514, '03_LOTES'!E:E)</f>
        <v>0</v>
      </c>
      <c r="F514" s="2">
        <f>A514 &amp; " | " &amp; B514 &amp; " | " &amp; C514</f>
        <v>0</v>
      </c>
      <c r="G514" s="2" t="s">
        <v>1190</v>
      </c>
      <c r="I514" s="2" t="s">
        <v>53</v>
      </c>
    </row>
    <row r="515" spans="1:9">
      <c r="A515" s="2" t="s">
        <v>1191</v>
      </c>
      <c r="B515" s="2" t="s">
        <v>503</v>
      </c>
      <c r="C515" s="2" t="s">
        <v>77</v>
      </c>
      <c r="D515" s="2" t="s">
        <v>73</v>
      </c>
      <c r="E515" s="2">
        <f>SUMIF('03_LOTES'!B:B, F515, '03_LOTES'!E:E)</f>
        <v>0</v>
      </c>
      <c r="F515" s="2">
        <f>A515 &amp; " | " &amp; B515 &amp; " | " &amp; C515</f>
        <v>0</v>
      </c>
      <c r="G515" s="2" t="s">
        <v>1192</v>
      </c>
      <c r="I515" s="2" t="s">
        <v>53</v>
      </c>
    </row>
    <row r="516" spans="1:9">
      <c r="A516" s="2" t="s">
        <v>1191</v>
      </c>
      <c r="B516" s="2" t="s">
        <v>674</v>
      </c>
      <c r="C516" s="2" t="s">
        <v>96</v>
      </c>
      <c r="D516" s="2" t="s">
        <v>73</v>
      </c>
      <c r="E516" s="2">
        <f>SUMIF('03_LOTES'!B:B, F516, '03_LOTES'!E:E)</f>
        <v>0</v>
      </c>
      <c r="F516" s="2">
        <f>A516 &amp; " | " &amp; B516 &amp; " | " &amp; C516</f>
        <v>0</v>
      </c>
      <c r="G516" s="2" t="s">
        <v>1193</v>
      </c>
      <c r="I516" s="2" t="s">
        <v>53</v>
      </c>
    </row>
    <row r="517" spans="1:9">
      <c r="A517" s="2" t="s">
        <v>1194</v>
      </c>
      <c r="B517" s="2" t="s">
        <v>151</v>
      </c>
      <c r="C517" s="2" t="s">
        <v>96</v>
      </c>
      <c r="D517" s="2" t="s">
        <v>73</v>
      </c>
      <c r="E517" s="2">
        <f>SUMIF('03_LOTES'!B:B, F517, '03_LOTES'!E:E)</f>
        <v>0</v>
      </c>
      <c r="F517" s="2">
        <f>A517 &amp; " | " &amp; B517 &amp; " | " &amp; C517</f>
        <v>0</v>
      </c>
      <c r="G517" s="2" t="s">
        <v>1195</v>
      </c>
      <c r="I517" s="2" t="s">
        <v>53</v>
      </c>
    </row>
    <row r="518" spans="1:9">
      <c r="A518" s="2" t="s">
        <v>1196</v>
      </c>
      <c r="B518" s="2" t="s">
        <v>1197</v>
      </c>
      <c r="C518" s="2" t="s">
        <v>77</v>
      </c>
      <c r="D518" s="2" t="s">
        <v>64</v>
      </c>
      <c r="E518" s="2">
        <f>SUMIF('03_LOTES'!B:B, F518, '03_LOTES'!E:E)</f>
        <v>0</v>
      </c>
      <c r="F518" s="2">
        <f>A518 &amp; " | " &amp; B518 &amp; " | " &amp; C518</f>
        <v>0</v>
      </c>
      <c r="G518" s="2" t="s">
        <v>1198</v>
      </c>
      <c r="I518" s="2" t="s">
        <v>53</v>
      </c>
    </row>
    <row r="519" spans="1:9">
      <c r="A519" s="2" t="s">
        <v>1196</v>
      </c>
      <c r="B519" s="2" t="s">
        <v>1199</v>
      </c>
      <c r="C519" s="2" t="s">
        <v>105</v>
      </c>
      <c r="D519" s="2" t="s">
        <v>64</v>
      </c>
      <c r="E519" s="2">
        <f>SUMIF('03_LOTES'!B:B, F519, '03_LOTES'!E:E)</f>
        <v>0</v>
      </c>
      <c r="F519" s="2">
        <f>A519 &amp; " | " &amp; B519 &amp; " | " &amp; C519</f>
        <v>0</v>
      </c>
      <c r="G519" s="2" t="s">
        <v>1200</v>
      </c>
      <c r="I519" s="2" t="s">
        <v>53</v>
      </c>
    </row>
    <row r="520" spans="1:9">
      <c r="A520" s="2" t="s">
        <v>1196</v>
      </c>
      <c r="B520" s="2" t="s">
        <v>1201</v>
      </c>
      <c r="C520" s="2" t="s">
        <v>249</v>
      </c>
      <c r="D520" s="2" t="s">
        <v>64</v>
      </c>
      <c r="E520" s="2">
        <f>SUMIF('03_LOTES'!B:B, F520, '03_LOTES'!E:E)</f>
        <v>0</v>
      </c>
      <c r="F520" s="2">
        <f>A520 &amp; " | " &amp; B520 &amp; " | " &amp; C520</f>
        <v>0</v>
      </c>
      <c r="G520" s="2" t="s">
        <v>1202</v>
      </c>
      <c r="I520" s="2" t="s">
        <v>53</v>
      </c>
    </row>
    <row r="521" spans="1:9">
      <c r="A521" s="2" t="s">
        <v>1196</v>
      </c>
      <c r="B521" s="2" t="s">
        <v>1203</v>
      </c>
      <c r="C521" s="2" t="s">
        <v>495</v>
      </c>
      <c r="D521" s="2" t="s">
        <v>64</v>
      </c>
      <c r="E521" s="2">
        <f>SUMIF('03_LOTES'!B:B, F521, '03_LOTES'!E:E)</f>
        <v>0</v>
      </c>
      <c r="F521" s="2">
        <f>A521 &amp; " | " &amp; B521 &amp; " | " &amp; C521</f>
        <v>0</v>
      </c>
      <c r="G521" s="2" t="s">
        <v>1204</v>
      </c>
      <c r="I521" s="2" t="s">
        <v>53</v>
      </c>
    </row>
    <row r="522" spans="1:9">
      <c r="A522" s="2" t="s">
        <v>1205</v>
      </c>
      <c r="B522" s="2" t="s">
        <v>112</v>
      </c>
      <c r="C522" s="2" t="s">
        <v>77</v>
      </c>
      <c r="D522" s="2" t="s">
        <v>73</v>
      </c>
      <c r="E522" s="2">
        <f>SUMIF('03_LOTES'!B:B, F522, '03_LOTES'!E:E)</f>
        <v>0</v>
      </c>
      <c r="F522" s="2">
        <f>A522 &amp; " | " &amp; B522 &amp; " | " &amp; C522</f>
        <v>0</v>
      </c>
      <c r="G522" s="2" t="s">
        <v>1206</v>
      </c>
      <c r="I522" s="2" t="s">
        <v>53</v>
      </c>
    </row>
    <row r="523" spans="1:9">
      <c r="A523" s="2" t="s">
        <v>1205</v>
      </c>
      <c r="B523" s="2" t="s">
        <v>382</v>
      </c>
      <c r="C523" s="2" t="s">
        <v>397</v>
      </c>
      <c r="D523" s="2" t="s">
        <v>73</v>
      </c>
      <c r="E523" s="2">
        <f>SUMIF('03_LOTES'!B:B, F523, '03_LOTES'!E:E)</f>
        <v>0</v>
      </c>
      <c r="F523" s="2">
        <f>A523 &amp; " | " &amp; B523 &amp; " | " &amp; C523</f>
        <v>0</v>
      </c>
      <c r="G523" s="2" t="s">
        <v>1207</v>
      </c>
      <c r="I523" s="2" t="s">
        <v>53</v>
      </c>
    </row>
    <row r="524" spans="1:9">
      <c r="A524" s="2" t="s">
        <v>1208</v>
      </c>
      <c r="B524" s="2" t="s">
        <v>1209</v>
      </c>
      <c r="C524" s="2" t="s">
        <v>249</v>
      </c>
      <c r="D524" s="2" t="s">
        <v>73</v>
      </c>
      <c r="E524" s="2">
        <f>SUMIF('03_LOTES'!B:B, F524, '03_LOTES'!E:E)</f>
        <v>0</v>
      </c>
      <c r="F524" s="2">
        <f>A524 &amp; " | " &amp; B524 &amp; " | " &amp; C524</f>
        <v>0</v>
      </c>
      <c r="G524" s="2" t="s">
        <v>1210</v>
      </c>
      <c r="I524" s="2" t="s">
        <v>53</v>
      </c>
    </row>
    <row r="525" spans="1:9">
      <c r="A525" s="2" t="s">
        <v>1211</v>
      </c>
      <c r="B525" s="2" t="s">
        <v>225</v>
      </c>
      <c r="C525" s="2" t="s">
        <v>77</v>
      </c>
      <c r="D525" s="2" t="s">
        <v>73</v>
      </c>
      <c r="E525" s="2">
        <f>SUMIF('03_LOTES'!B:B, F525, '03_LOTES'!E:E)</f>
        <v>0</v>
      </c>
      <c r="F525" s="2">
        <f>A525 &amp; " | " &amp; B525 &amp; " | " &amp; C525</f>
        <v>0</v>
      </c>
      <c r="G525" s="2" t="s">
        <v>1212</v>
      </c>
      <c r="I525" s="2" t="s">
        <v>53</v>
      </c>
    </row>
    <row r="526" spans="1:9">
      <c r="A526" s="2" t="s">
        <v>1211</v>
      </c>
      <c r="B526" s="2" t="s">
        <v>1213</v>
      </c>
      <c r="C526" s="2" t="s">
        <v>105</v>
      </c>
      <c r="D526" s="2" t="s">
        <v>73</v>
      </c>
      <c r="E526" s="2">
        <f>SUMIF('03_LOTES'!B:B, F526, '03_LOTES'!E:E)</f>
        <v>0</v>
      </c>
      <c r="F526" s="2">
        <f>A526 &amp; " | " &amp; B526 &amp; " | " &amp; C526</f>
        <v>0</v>
      </c>
      <c r="G526" s="2" t="s">
        <v>1214</v>
      </c>
      <c r="I526" s="2" t="s">
        <v>53</v>
      </c>
    </row>
    <row r="527" spans="1:9">
      <c r="A527" s="2" t="s">
        <v>1215</v>
      </c>
      <c r="B527" s="2" t="s">
        <v>855</v>
      </c>
      <c r="C527" s="2" t="s">
        <v>96</v>
      </c>
      <c r="D527" s="2" t="s">
        <v>73</v>
      </c>
      <c r="E527" s="2">
        <f>SUMIF('03_LOTES'!B:B, F527, '03_LOTES'!E:E)</f>
        <v>0</v>
      </c>
      <c r="F527" s="2">
        <f>A527 &amp; " | " &amp; B527 &amp; " | " &amp; C527</f>
        <v>0</v>
      </c>
      <c r="G527" s="2" t="s">
        <v>1216</v>
      </c>
      <c r="I527" s="2" t="s">
        <v>53</v>
      </c>
    </row>
    <row r="528" spans="1:9">
      <c r="A528" s="2" t="s">
        <v>1217</v>
      </c>
      <c r="B528" s="2" t="s">
        <v>293</v>
      </c>
      <c r="C528" s="2" t="s">
        <v>96</v>
      </c>
      <c r="D528" s="2" t="s">
        <v>73</v>
      </c>
      <c r="E528" s="2">
        <f>SUMIF('03_LOTES'!B:B, F528, '03_LOTES'!E:E)</f>
        <v>0</v>
      </c>
      <c r="F528" s="2">
        <f>A528 &amp; " | " &amp; B528 &amp; " | " &amp; C528</f>
        <v>0</v>
      </c>
      <c r="G528" s="2" t="s">
        <v>1218</v>
      </c>
      <c r="I528" s="2" t="s">
        <v>53</v>
      </c>
    </row>
    <row r="529" spans="1:9">
      <c r="A529" s="2" t="s">
        <v>1219</v>
      </c>
      <c r="B529" s="2" t="s">
        <v>235</v>
      </c>
      <c r="C529" s="2" t="s">
        <v>96</v>
      </c>
      <c r="D529" s="2" t="s">
        <v>73</v>
      </c>
      <c r="E529" s="2">
        <f>SUMIF('03_LOTES'!B:B, F529, '03_LOTES'!E:E)</f>
        <v>0</v>
      </c>
      <c r="F529" s="2">
        <f>A529 &amp; " | " &amp; B529 &amp; " | " &amp; C529</f>
        <v>0</v>
      </c>
      <c r="G529" s="2" t="s">
        <v>1220</v>
      </c>
      <c r="I529" s="2" t="s">
        <v>53</v>
      </c>
    </row>
    <row r="530" spans="1:9">
      <c r="A530" s="2" t="s">
        <v>1221</v>
      </c>
      <c r="B530" s="2" t="s">
        <v>309</v>
      </c>
      <c r="C530" s="2" t="s">
        <v>77</v>
      </c>
      <c r="D530" s="2" t="s">
        <v>73</v>
      </c>
      <c r="E530" s="2">
        <f>SUMIF('03_LOTES'!B:B, F530, '03_LOTES'!E:E)</f>
        <v>0</v>
      </c>
      <c r="F530" s="2">
        <f>A530 &amp; " | " &amp; B530 &amp; " | " &amp; C530</f>
        <v>0</v>
      </c>
      <c r="G530" s="2" t="s">
        <v>1222</v>
      </c>
      <c r="I530" s="2" t="s">
        <v>53</v>
      </c>
    </row>
    <row r="531" spans="1:9">
      <c r="A531" s="2" t="s">
        <v>1223</v>
      </c>
      <c r="B531" s="2" t="s">
        <v>1224</v>
      </c>
      <c r="C531" s="2" t="s">
        <v>77</v>
      </c>
      <c r="D531" s="2" t="s">
        <v>73</v>
      </c>
      <c r="E531" s="2">
        <f>SUMIF('03_LOTES'!B:B, F531, '03_LOTES'!E:E)</f>
        <v>0</v>
      </c>
      <c r="F531" s="2">
        <f>A531 &amp; " | " &amp; B531 &amp; " | " &amp; C531</f>
        <v>0</v>
      </c>
      <c r="G531" s="2" t="s">
        <v>1225</v>
      </c>
      <c r="I531" s="2" t="s">
        <v>53</v>
      </c>
    </row>
    <row r="532" spans="1:9">
      <c r="A532" s="2" t="s">
        <v>1226</v>
      </c>
      <c r="B532" s="2" t="s">
        <v>102</v>
      </c>
      <c r="C532" s="2" t="s">
        <v>77</v>
      </c>
      <c r="D532" s="2" t="s">
        <v>73</v>
      </c>
      <c r="E532" s="2">
        <f>SUMIF('03_LOTES'!B:B, F532, '03_LOTES'!E:E)</f>
        <v>0</v>
      </c>
      <c r="F532" s="2">
        <f>A532 &amp; " | " &amp; B532 &amp; " | " &amp; C532</f>
        <v>0</v>
      </c>
      <c r="G532" s="2" t="s">
        <v>1227</v>
      </c>
      <c r="I532" s="2" t="s">
        <v>53</v>
      </c>
    </row>
    <row r="533" spans="1:9">
      <c r="A533" s="2" t="s">
        <v>1226</v>
      </c>
      <c r="B533" s="2" t="s">
        <v>107</v>
      </c>
      <c r="C533" s="2" t="s">
        <v>77</v>
      </c>
      <c r="D533" s="2" t="s">
        <v>73</v>
      </c>
      <c r="E533" s="2">
        <f>SUMIF('03_LOTES'!B:B, F533, '03_LOTES'!E:E)</f>
        <v>0</v>
      </c>
      <c r="F533" s="2">
        <f>A533 &amp; " | " &amp; B533 &amp; " | " &amp; C533</f>
        <v>0</v>
      </c>
      <c r="G533" s="2" t="s">
        <v>1228</v>
      </c>
      <c r="I533" s="2" t="s">
        <v>53</v>
      </c>
    </row>
    <row r="534" spans="1:9">
      <c r="A534" s="2" t="s">
        <v>1229</v>
      </c>
      <c r="B534" s="2" t="s">
        <v>90</v>
      </c>
      <c r="C534" s="2" t="s">
        <v>125</v>
      </c>
      <c r="D534" s="2" t="s">
        <v>73</v>
      </c>
      <c r="E534" s="2">
        <f>SUMIF('03_LOTES'!B:B, F534, '03_LOTES'!E:E)</f>
        <v>0</v>
      </c>
      <c r="F534" s="2">
        <f>A534 &amp; " | " &amp; B534 &amp; " | " &amp; C534</f>
        <v>0</v>
      </c>
      <c r="G534" s="2" t="s">
        <v>1230</v>
      </c>
      <c r="I534" s="2" t="s">
        <v>53</v>
      </c>
    </row>
    <row r="535" spans="1:9">
      <c r="A535" s="2" t="s">
        <v>1231</v>
      </c>
      <c r="B535" s="2" t="s">
        <v>229</v>
      </c>
      <c r="C535" s="2" t="s">
        <v>83</v>
      </c>
      <c r="D535" s="2" t="s">
        <v>70</v>
      </c>
      <c r="E535" s="2">
        <f>SUMIF('03_LOTES'!B:B, F535, '03_LOTES'!E:E)</f>
        <v>0</v>
      </c>
      <c r="F535" s="2">
        <f>A535 &amp; " | " &amp; B535 &amp; " | " &amp; C535</f>
        <v>0</v>
      </c>
      <c r="G535" s="2" t="s">
        <v>1232</v>
      </c>
      <c r="I535" s="2" t="s">
        <v>53</v>
      </c>
    </row>
    <row r="536" spans="1:9">
      <c r="A536" s="2" t="s">
        <v>1231</v>
      </c>
      <c r="B536" s="2" t="s">
        <v>1233</v>
      </c>
      <c r="C536" s="2" t="s">
        <v>96</v>
      </c>
      <c r="D536" s="2" t="s">
        <v>70</v>
      </c>
      <c r="E536" s="2">
        <f>SUMIF('03_LOTES'!B:B, F536, '03_LOTES'!E:E)</f>
        <v>0</v>
      </c>
      <c r="F536" s="2">
        <f>A536 &amp; " | " &amp; B536 &amp; " | " &amp; C536</f>
        <v>0</v>
      </c>
      <c r="G536" s="2" t="s">
        <v>1234</v>
      </c>
      <c r="I536" s="2" t="s">
        <v>53</v>
      </c>
    </row>
    <row r="537" spans="1:9">
      <c r="A537" s="2" t="s">
        <v>1235</v>
      </c>
      <c r="B537" s="2" t="s">
        <v>1236</v>
      </c>
      <c r="C537" s="2" t="s">
        <v>96</v>
      </c>
      <c r="D537" s="2" t="s">
        <v>73</v>
      </c>
      <c r="E537" s="2">
        <f>SUMIF('03_LOTES'!B:B, F537, '03_LOTES'!E:E)</f>
        <v>0</v>
      </c>
      <c r="F537" s="2">
        <f>A537 &amp; " | " &amp; B537 &amp; " | " &amp; C537</f>
        <v>0</v>
      </c>
      <c r="G537" s="2" t="s">
        <v>1237</v>
      </c>
      <c r="I537" s="2" t="s">
        <v>53</v>
      </c>
    </row>
    <row r="538" spans="1:9">
      <c r="A538" s="2" t="s">
        <v>1235</v>
      </c>
      <c r="B538" s="2" t="s">
        <v>1236</v>
      </c>
      <c r="C538" s="2" t="s">
        <v>77</v>
      </c>
      <c r="D538" s="2" t="s">
        <v>73</v>
      </c>
      <c r="E538" s="2">
        <f>SUMIF('03_LOTES'!B:B, F538, '03_LOTES'!E:E)</f>
        <v>0</v>
      </c>
      <c r="F538" s="2">
        <f>A538 &amp; " | " &amp; B538 &amp; " | " &amp; C538</f>
        <v>0</v>
      </c>
      <c r="G538" s="2" t="s">
        <v>1238</v>
      </c>
      <c r="I538" s="2" t="s">
        <v>53</v>
      </c>
    </row>
    <row r="539" spans="1:9">
      <c r="A539" s="2" t="s">
        <v>1239</v>
      </c>
      <c r="B539" s="2" t="s">
        <v>455</v>
      </c>
      <c r="C539" s="2" t="s">
        <v>83</v>
      </c>
      <c r="D539" s="2" t="s">
        <v>73</v>
      </c>
      <c r="E539" s="2">
        <f>SUMIF('03_LOTES'!B:B, F539, '03_LOTES'!E:E)</f>
        <v>0</v>
      </c>
      <c r="F539" s="2">
        <f>A539 &amp; " | " &amp; B539 &amp; " | " &amp; C539</f>
        <v>0</v>
      </c>
      <c r="G539" s="2" t="s">
        <v>1240</v>
      </c>
      <c r="I539" s="2" t="s">
        <v>53</v>
      </c>
    </row>
    <row r="540" spans="1:9">
      <c r="A540" s="2" t="s">
        <v>1239</v>
      </c>
      <c r="B540" s="2" t="s">
        <v>1241</v>
      </c>
      <c r="C540" s="2" t="s">
        <v>105</v>
      </c>
      <c r="D540" s="2" t="s">
        <v>73</v>
      </c>
      <c r="E540" s="2">
        <f>SUMIF('03_LOTES'!B:B, F540, '03_LOTES'!E:E)</f>
        <v>0</v>
      </c>
      <c r="F540" s="2">
        <f>A540 &amp; " | " &amp; B540 &amp; " | " &amp; C540</f>
        <v>0</v>
      </c>
      <c r="G540" s="2" t="s">
        <v>1242</v>
      </c>
      <c r="I540" s="2" t="s">
        <v>53</v>
      </c>
    </row>
    <row r="541" spans="1:9">
      <c r="A541" s="2" t="s">
        <v>1239</v>
      </c>
      <c r="B541" s="2" t="s">
        <v>1243</v>
      </c>
      <c r="C541" s="2" t="s">
        <v>105</v>
      </c>
      <c r="D541" s="2" t="s">
        <v>73</v>
      </c>
      <c r="E541" s="2">
        <f>SUMIF('03_LOTES'!B:B, F541, '03_LOTES'!E:E)</f>
        <v>0</v>
      </c>
      <c r="F541" s="2">
        <f>A541 &amp; " | " &amp; B541 &amp; " | " &amp; C541</f>
        <v>0</v>
      </c>
      <c r="G541" s="2" t="s">
        <v>1244</v>
      </c>
      <c r="I541" s="2" t="s">
        <v>53</v>
      </c>
    </row>
    <row r="542" spans="1:9">
      <c r="A542" s="2" t="s">
        <v>1245</v>
      </c>
      <c r="B542" s="2" t="s">
        <v>151</v>
      </c>
      <c r="C542" s="2" t="s">
        <v>96</v>
      </c>
      <c r="D542" s="2" t="s">
        <v>73</v>
      </c>
      <c r="E542" s="2">
        <f>SUMIF('03_LOTES'!B:B, F542, '03_LOTES'!E:E)</f>
        <v>0</v>
      </c>
      <c r="F542" s="2">
        <f>A542 &amp; " | " &amp; B542 &amp; " | " &amp; C542</f>
        <v>0</v>
      </c>
      <c r="G542" s="2" t="s">
        <v>1246</v>
      </c>
      <c r="I542" s="2" t="s">
        <v>53</v>
      </c>
    </row>
    <row r="543" spans="1:9">
      <c r="A543" s="2" t="s">
        <v>1245</v>
      </c>
      <c r="B543" s="2" t="s">
        <v>225</v>
      </c>
      <c r="C543" s="2" t="s">
        <v>96</v>
      </c>
      <c r="D543" s="2" t="s">
        <v>73</v>
      </c>
      <c r="E543" s="2">
        <f>SUMIF('03_LOTES'!B:B, F543, '03_LOTES'!E:E)</f>
        <v>0</v>
      </c>
      <c r="F543" s="2">
        <f>A543 &amp; " | " &amp; B543 &amp; " | " &amp; C543</f>
        <v>0</v>
      </c>
      <c r="G543" s="2" t="s">
        <v>1247</v>
      </c>
      <c r="I543" s="2" t="s">
        <v>53</v>
      </c>
    </row>
    <row r="544" spans="1:9">
      <c r="A544" s="2" t="s">
        <v>1248</v>
      </c>
      <c r="B544" s="2" t="s">
        <v>90</v>
      </c>
      <c r="C544" s="2" t="s">
        <v>1249</v>
      </c>
      <c r="D544" s="2" t="s">
        <v>67</v>
      </c>
      <c r="E544" s="2">
        <f>SUMIF('03_LOTES'!B:B, F544, '03_LOTES'!E:E)</f>
        <v>0</v>
      </c>
      <c r="F544" s="2">
        <f>A544 &amp; " | " &amp; B544 &amp; " | " &amp; C544</f>
        <v>0</v>
      </c>
      <c r="G544" s="2" t="s">
        <v>1250</v>
      </c>
      <c r="I544" s="2" t="s">
        <v>53</v>
      </c>
    </row>
    <row r="545" spans="1:9">
      <c r="A545" s="2" t="s">
        <v>1251</v>
      </c>
      <c r="B545" s="2" t="s">
        <v>1252</v>
      </c>
      <c r="C545" s="2" t="s">
        <v>96</v>
      </c>
      <c r="D545" s="2" t="s">
        <v>73</v>
      </c>
      <c r="E545" s="2">
        <f>SUMIF('03_LOTES'!B:B, F545, '03_LOTES'!E:E)</f>
        <v>0</v>
      </c>
      <c r="F545" s="2">
        <f>A545 &amp; " | " &amp; B545 &amp; " | " &amp; C545</f>
        <v>0</v>
      </c>
      <c r="G545" s="2" t="s">
        <v>1253</v>
      </c>
      <c r="I545" s="2" t="s">
        <v>53</v>
      </c>
    </row>
    <row r="546" spans="1:9">
      <c r="A546" s="2" t="s">
        <v>1254</v>
      </c>
      <c r="B546" s="2" t="s">
        <v>1255</v>
      </c>
      <c r="C546" s="2" t="s">
        <v>1256</v>
      </c>
      <c r="D546" s="2" t="s">
        <v>73</v>
      </c>
      <c r="E546" s="2">
        <f>SUMIF('03_LOTES'!B:B, F546, '03_LOTES'!E:E)</f>
        <v>0</v>
      </c>
      <c r="F546" s="2">
        <f>A546 &amp; " | " &amp; B546 &amp; " | " &amp; C546</f>
        <v>0</v>
      </c>
      <c r="G546" s="2" t="s">
        <v>1257</v>
      </c>
      <c r="I546" s="2" t="s">
        <v>53</v>
      </c>
    </row>
    <row r="547" spans="1:9">
      <c r="A547" s="2" t="s">
        <v>1258</v>
      </c>
      <c r="B547" s="2" t="s">
        <v>1241</v>
      </c>
      <c r="C547" s="2" t="s">
        <v>96</v>
      </c>
      <c r="D547" s="2" t="s">
        <v>73</v>
      </c>
      <c r="E547" s="2">
        <f>SUMIF('03_LOTES'!B:B, F547, '03_LOTES'!E:E)</f>
        <v>0</v>
      </c>
      <c r="F547" s="2">
        <f>A547 &amp; " | " &amp; B547 &amp; " | " &amp; C547</f>
        <v>0</v>
      </c>
      <c r="G547" s="2" t="s">
        <v>1259</v>
      </c>
      <c r="I547" s="2" t="s">
        <v>53</v>
      </c>
    </row>
    <row r="548" spans="1:9">
      <c r="A548" s="2" t="s">
        <v>1258</v>
      </c>
      <c r="B548" s="2" t="s">
        <v>1260</v>
      </c>
      <c r="C548" s="2" t="s">
        <v>96</v>
      </c>
      <c r="D548" s="2" t="s">
        <v>73</v>
      </c>
      <c r="E548" s="2">
        <f>SUMIF('03_LOTES'!B:B, F548, '03_LOTES'!E:E)</f>
        <v>0</v>
      </c>
      <c r="F548" s="2">
        <f>A548 &amp; " | " &amp; B548 &amp; " | " &amp; C548</f>
        <v>0</v>
      </c>
      <c r="G548" s="2" t="s">
        <v>1261</v>
      </c>
      <c r="I548" s="2" t="s">
        <v>53</v>
      </c>
    </row>
    <row r="549" spans="1:9">
      <c r="A549" s="2" t="s">
        <v>1262</v>
      </c>
      <c r="B549" s="2" t="s">
        <v>112</v>
      </c>
      <c r="C549" s="2" t="s">
        <v>77</v>
      </c>
      <c r="D549" s="2" t="s">
        <v>51</v>
      </c>
      <c r="E549" s="2">
        <f>SUMIF('03_LOTES'!B:B, F549, '03_LOTES'!E:E)</f>
        <v>0</v>
      </c>
      <c r="F549" s="2">
        <f>A549 &amp; " | " &amp; B549 &amp; " | " &amp; C549</f>
        <v>0</v>
      </c>
      <c r="G549" s="2" t="s">
        <v>1263</v>
      </c>
      <c r="I549" s="2" t="s">
        <v>53</v>
      </c>
    </row>
    <row r="550" spans="1:9">
      <c r="A550" s="2" t="s">
        <v>1262</v>
      </c>
      <c r="B550" s="2" t="s">
        <v>1264</v>
      </c>
      <c r="C550" s="2" t="s">
        <v>397</v>
      </c>
      <c r="D550" s="2" t="s">
        <v>51</v>
      </c>
      <c r="E550" s="2">
        <f>SUMIF('03_LOTES'!B:B, F550, '03_LOTES'!E:E)</f>
        <v>0</v>
      </c>
      <c r="F550" s="2">
        <f>A550 &amp; " | " &amp; B550 &amp; " | " &amp; C550</f>
        <v>0</v>
      </c>
      <c r="G550" s="2" t="s">
        <v>1265</v>
      </c>
      <c r="I550" s="2" t="s">
        <v>53</v>
      </c>
    </row>
    <row r="551" spans="1:9">
      <c r="A551" s="2" t="s">
        <v>1262</v>
      </c>
      <c r="B551" s="2" t="s">
        <v>408</v>
      </c>
      <c r="C551" s="2" t="s">
        <v>746</v>
      </c>
      <c r="D551" s="2" t="s">
        <v>51</v>
      </c>
      <c r="E551" s="2">
        <f>SUMIF('03_LOTES'!B:B, F551, '03_LOTES'!E:E)</f>
        <v>0</v>
      </c>
      <c r="F551" s="2">
        <f>A551 &amp; " | " &amp; B551 &amp; " | " &amp; C551</f>
        <v>0</v>
      </c>
      <c r="G551" s="2" t="s">
        <v>1266</v>
      </c>
      <c r="I551" s="2" t="s">
        <v>53</v>
      </c>
    </row>
    <row r="552" spans="1:9">
      <c r="A552" s="2" t="s">
        <v>1262</v>
      </c>
      <c r="B552" s="2" t="s">
        <v>225</v>
      </c>
      <c r="C552" s="2" t="s">
        <v>537</v>
      </c>
      <c r="D552" s="2" t="s">
        <v>51</v>
      </c>
      <c r="E552" s="2">
        <f>SUMIF('03_LOTES'!B:B, F552, '03_LOTES'!E:E)</f>
        <v>0</v>
      </c>
      <c r="F552" s="2">
        <f>A552 &amp; " | " &amp; B552 &amp; " | " &amp; C552</f>
        <v>0</v>
      </c>
      <c r="G552" s="2" t="s">
        <v>1267</v>
      </c>
      <c r="I552" s="2" t="s">
        <v>53</v>
      </c>
    </row>
    <row r="553" spans="1:9">
      <c r="A553" s="2" t="s">
        <v>1262</v>
      </c>
      <c r="B553" s="2" t="s">
        <v>225</v>
      </c>
      <c r="C553" s="2" t="s">
        <v>77</v>
      </c>
      <c r="D553" s="2" t="s">
        <v>51</v>
      </c>
      <c r="E553" s="2">
        <f>SUMIF('03_LOTES'!B:B, F553, '03_LOTES'!E:E)</f>
        <v>0</v>
      </c>
      <c r="F553" s="2">
        <f>A553 &amp; " | " &amp; B553 &amp; " | " &amp; C553</f>
        <v>0</v>
      </c>
      <c r="G553" s="2" t="s">
        <v>1268</v>
      </c>
      <c r="I553" s="2" t="s">
        <v>53</v>
      </c>
    </row>
    <row r="554" spans="1:9">
      <c r="A554" s="2" t="s">
        <v>1262</v>
      </c>
      <c r="B554" s="2" t="s">
        <v>1269</v>
      </c>
      <c r="C554" s="2" t="s">
        <v>96</v>
      </c>
      <c r="D554" s="2" t="s">
        <v>51</v>
      </c>
      <c r="E554" s="2">
        <f>SUMIF('03_LOTES'!B:B, F554, '03_LOTES'!E:E)</f>
        <v>0</v>
      </c>
      <c r="F554" s="2">
        <f>A554 &amp; " | " &amp; B554 &amp; " | " &amp; C554</f>
        <v>0</v>
      </c>
      <c r="G554" s="2" t="s">
        <v>1270</v>
      </c>
      <c r="I554" s="2" t="s">
        <v>53</v>
      </c>
    </row>
    <row r="555" spans="1:9">
      <c r="A555" s="2" t="s">
        <v>1271</v>
      </c>
      <c r="B555" s="2" t="s">
        <v>107</v>
      </c>
      <c r="C555" s="2" t="s">
        <v>77</v>
      </c>
      <c r="D555" s="2" t="s">
        <v>73</v>
      </c>
      <c r="E555" s="2">
        <f>SUMIF('03_LOTES'!B:B, F555, '03_LOTES'!E:E)</f>
        <v>0</v>
      </c>
      <c r="F555" s="2">
        <f>A555 &amp; " | " &amp; B555 &amp; " | " &amp; C555</f>
        <v>0</v>
      </c>
      <c r="G555" s="2" t="s">
        <v>1272</v>
      </c>
      <c r="I555" s="2" t="s">
        <v>53</v>
      </c>
    </row>
    <row r="556" spans="1:9">
      <c r="A556" s="2" t="s">
        <v>1273</v>
      </c>
      <c r="B556" s="2" t="s">
        <v>1274</v>
      </c>
      <c r="C556" s="2" t="s">
        <v>1275</v>
      </c>
      <c r="D556" s="2" t="s">
        <v>73</v>
      </c>
      <c r="E556" s="2">
        <f>SUMIF('03_LOTES'!B:B, F556, '03_LOTES'!E:E)</f>
        <v>0</v>
      </c>
      <c r="F556" s="2">
        <f>A556 &amp; " | " &amp; B556 &amp; " | " &amp; C556</f>
        <v>0</v>
      </c>
      <c r="G556" s="2" t="s">
        <v>1276</v>
      </c>
      <c r="I556" s="2" t="s">
        <v>53</v>
      </c>
    </row>
    <row r="557" spans="1:9">
      <c r="A557" s="2" t="s">
        <v>1277</v>
      </c>
      <c r="B557" s="2" t="s">
        <v>80</v>
      </c>
      <c r="C557" s="2" t="s">
        <v>77</v>
      </c>
      <c r="D557" s="2" t="s">
        <v>73</v>
      </c>
      <c r="E557" s="2">
        <f>SUMIF('03_LOTES'!B:B, F557, '03_LOTES'!E:E)</f>
        <v>0</v>
      </c>
      <c r="F557" s="2">
        <f>A557 &amp; " | " &amp; B557 &amp; " | " &amp; C557</f>
        <v>0</v>
      </c>
      <c r="G557" s="2" t="s">
        <v>1278</v>
      </c>
      <c r="I557" s="2" t="s">
        <v>53</v>
      </c>
    </row>
    <row r="558" spans="1:9">
      <c r="A558" s="2" t="s">
        <v>1279</v>
      </c>
      <c r="B558" s="2" t="s">
        <v>107</v>
      </c>
      <c r="C558" s="2" t="s">
        <v>96</v>
      </c>
      <c r="D558" s="2" t="s">
        <v>73</v>
      </c>
      <c r="E558" s="2">
        <f>SUMIF('03_LOTES'!B:B, F558, '03_LOTES'!E:E)</f>
        <v>0</v>
      </c>
      <c r="F558" s="2">
        <f>A558 &amp; " | " &amp; B558 &amp; " | " &amp; C558</f>
        <v>0</v>
      </c>
      <c r="G558" s="2" t="s">
        <v>1280</v>
      </c>
      <c r="I558" s="2" t="s">
        <v>53</v>
      </c>
    </row>
    <row r="559" spans="1:9">
      <c r="A559" s="2" t="s">
        <v>1279</v>
      </c>
      <c r="B559" s="2" t="s">
        <v>76</v>
      </c>
      <c r="C559" s="2" t="s">
        <v>96</v>
      </c>
      <c r="D559" s="2" t="s">
        <v>73</v>
      </c>
      <c r="E559" s="2">
        <f>SUMIF('03_LOTES'!B:B, F559, '03_LOTES'!E:E)</f>
        <v>0</v>
      </c>
      <c r="F559" s="2">
        <f>A559 &amp; " | " &amp; B559 &amp; " | " &amp; C559</f>
        <v>0</v>
      </c>
      <c r="G559" s="2" t="s">
        <v>1281</v>
      </c>
      <c r="I559" s="2" t="s">
        <v>53</v>
      </c>
    </row>
    <row r="560" spans="1:9">
      <c r="A560" s="2" t="s">
        <v>1282</v>
      </c>
      <c r="B560" s="2" t="s">
        <v>1283</v>
      </c>
      <c r="C560" s="2" t="s">
        <v>1284</v>
      </c>
      <c r="D560" s="2" t="s">
        <v>73</v>
      </c>
      <c r="E560" s="2">
        <f>SUMIF('03_LOTES'!B:B, F560, '03_LOTES'!E:E)</f>
        <v>0</v>
      </c>
      <c r="F560" s="2">
        <f>A560 &amp; " | " &amp; B560 &amp; " | " &amp; C560</f>
        <v>0</v>
      </c>
      <c r="G560" s="2" t="s">
        <v>1285</v>
      </c>
      <c r="I560" s="2" t="s">
        <v>53</v>
      </c>
    </row>
    <row r="561" spans="1:9">
      <c r="A561" s="2" t="s">
        <v>1286</v>
      </c>
      <c r="B561" s="2" t="s">
        <v>237</v>
      </c>
      <c r="C561" s="2" t="s">
        <v>681</v>
      </c>
      <c r="D561" s="2" t="s">
        <v>73</v>
      </c>
      <c r="E561" s="2">
        <f>SUMIF('03_LOTES'!B:B, F561, '03_LOTES'!E:E)</f>
        <v>0</v>
      </c>
      <c r="F561" s="2">
        <f>A561 &amp; " | " &amp; B561 &amp; " | " &amp; C561</f>
        <v>0</v>
      </c>
      <c r="G561" s="2" t="s">
        <v>1287</v>
      </c>
      <c r="I561" s="2" t="s">
        <v>53</v>
      </c>
    </row>
    <row r="562" spans="1:9">
      <c r="A562" s="2" t="s">
        <v>1286</v>
      </c>
      <c r="B562" s="2" t="s">
        <v>99</v>
      </c>
      <c r="C562" s="2" t="s">
        <v>249</v>
      </c>
      <c r="D562" s="2" t="s">
        <v>73</v>
      </c>
      <c r="E562" s="2">
        <f>SUMIF('03_LOTES'!B:B, F562, '03_LOTES'!E:E)</f>
        <v>0</v>
      </c>
      <c r="F562" s="2">
        <f>A562 &amp; " | " &amp; B562 &amp; " | " &amp; C562</f>
        <v>0</v>
      </c>
      <c r="G562" s="2" t="s">
        <v>1288</v>
      </c>
      <c r="I562" s="2" t="s">
        <v>53</v>
      </c>
    </row>
    <row r="563" spans="1:9">
      <c r="A563" s="2" t="s">
        <v>1289</v>
      </c>
      <c r="B563" s="2" t="s">
        <v>1290</v>
      </c>
      <c r="C563" s="2" t="s">
        <v>96</v>
      </c>
      <c r="D563" s="2" t="s">
        <v>73</v>
      </c>
      <c r="E563" s="2">
        <f>SUMIF('03_LOTES'!B:B, F563, '03_LOTES'!E:E)</f>
        <v>0</v>
      </c>
      <c r="F563" s="2">
        <f>A563 &amp; " | " &amp; B563 &amp; " | " &amp; C563</f>
        <v>0</v>
      </c>
      <c r="G563" s="2" t="s">
        <v>1291</v>
      </c>
      <c r="I563" s="2" t="s">
        <v>53</v>
      </c>
    </row>
    <row r="564" spans="1:9">
      <c r="A564" s="2" t="s">
        <v>1292</v>
      </c>
      <c r="B564" s="2" t="s">
        <v>99</v>
      </c>
      <c r="C564" s="2" t="s">
        <v>681</v>
      </c>
      <c r="D564" s="2" t="s">
        <v>73</v>
      </c>
      <c r="E564" s="2">
        <f>SUMIF('03_LOTES'!B:B, F564, '03_LOTES'!E:E)</f>
        <v>0</v>
      </c>
      <c r="F564" s="2">
        <f>A564 &amp; " | " &amp; B564 &amp; " | " &amp; C564</f>
        <v>0</v>
      </c>
      <c r="G564" s="2" t="s">
        <v>1293</v>
      </c>
      <c r="I564" s="2" t="s">
        <v>53</v>
      </c>
    </row>
    <row r="565" spans="1:9">
      <c r="A565" s="2" t="s">
        <v>1292</v>
      </c>
      <c r="B565" s="2" t="s">
        <v>99</v>
      </c>
      <c r="C565" s="2" t="s">
        <v>1294</v>
      </c>
      <c r="D565" s="2" t="s">
        <v>73</v>
      </c>
      <c r="E565" s="2">
        <f>SUMIF('03_LOTES'!B:B, F565, '03_LOTES'!E:E)</f>
        <v>0</v>
      </c>
      <c r="F565" s="2">
        <f>A565 &amp; " | " &amp; B565 &amp; " | " &amp; C565</f>
        <v>0</v>
      </c>
      <c r="G565" s="2" t="s">
        <v>1295</v>
      </c>
      <c r="I565" s="2" t="s">
        <v>53</v>
      </c>
    </row>
    <row r="566" spans="1:9">
      <c r="A566" s="2" t="s">
        <v>1296</v>
      </c>
      <c r="B566" s="2" t="s">
        <v>1297</v>
      </c>
      <c r="C566" s="2" t="s">
        <v>447</v>
      </c>
      <c r="D566" s="2" t="s">
        <v>73</v>
      </c>
      <c r="E566" s="2">
        <f>SUMIF('03_LOTES'!B:B, F566, '03_LOTES'!E:E)</f>
        <v>0</v>
      </c>
      <c r="F566" s="2">
        <f>A566 &amp; " | " &amp; B566 &amp; " | " &amp; C566</f>
        <v>0</v>
      </c>
      <c r="G566" s="2" t="s">
        <v>1298</v>
      </c>
      <c r="I566" s="2" t="s">
        <v>53</v>
      </c>
    </row>
    <row r="567" spans="1:9">
      <c r="A567" s="2" t="s">
        <v>1299</v>
      </c>
      <c r="B567" s="2" t="s">
        <v>225</v>
      </c>
      <c r="C567" s="2" t="s">
        <v>96</v>
      </c>
      <c r="D567" s="2" t="s">
        <v>73</v>
      </c>
      <c r="E567" s="2">
        <f>SUMIF('03_LOTES'!B:B, F567, '03_LOTES'!E:E)</f>
        <v>0</v>
      </c>
      <c r="F567" s="2">
        <f>A567 &amp; " | " &amp; B567 &amp; " | " &amp; C567</f>
        <v>0</v>
      </c>
      <c r="G567" s="2" t="s">
        <v>1300</v>
      </c>
      <c r="I567" s="2" t="s">
        <v>53</v>
      </c>
    </row>
    <row r="568" spans="1:9">
      <c r="A568" s="2" t="s">
        <v>1301</v>
      </c>
      <c r="B568" s="2" t="s">
        <v>1302</v>
      </c>
      <c r="C568" s="2" t="s">
        <v>96</v>
      </c>
      <c r="D568" s="2" t="s">
        <v>73</v>
      </c>
      <c r="E568" s="2">
        <f>SUMIF('03_LOTES'!B:B, F568, '03_LOTES'!E:E)</f>
        <v>0</v>
      </c>
      <c r="F568" s="2">
        <f>A568 &amp; " | " &amp; B568 &amp; " | " &amp; C568</f>
        <v>0</v>
      </c>
      <c r="G568" s="2" t="s">
        <v>1303</v>
      </c>
      <c r="I568" s="2" t="s">
        <v>53</v>
      </c>
    </row>
    <row r="569" spans="1:9">
      <c r="A569" s="2" t="s">
        <v>1304</v>
      </c>
      <c r="B569" s="2" t="s">
        <v>80</v>
      </c>
      <c r="C569" s="2" t="s">
        <v>77</v>
      </c>
      <c r="D569" s="2" t="s">
        <v>73</v>
      </c>
      <c r="E569" s="2">
        <f>SUMIF('03_LOTES'!B:B, F569, '03_LOTES'!E:E)</f>
        <v>0</v>
      </c>
      <c r="F569" s="2">
        <f>A569 &amp; " | " &amp; B569 &amp; " | " &amp; C569</f>
        <v>0</v>
      </c>
      <c r="G569" s="2" t="s">
        <v>1305</v>
      </c>
      <c r="I569" s="2" t="s">
        <v>53</v>
      </c>
    </row>
    <row r="570" spans="1:9">
      <c r="A570" s="2" t="s">
        <v>1304</v>
      </c>
      <c r="B570" s="2" t="s">
        <v>388</v>
      </c>
      <c r="C570" s="2" t="s">
        <v>105</v>
      </c>
      <c r="D570" s="2" t="s">
        <v>73</v>
      </c>
      <c r="E570" s="2">
        <f>SUMIF('03_LOTES'!B:B, F570, '03_LOTES'!E:E)</f>
        <v>0</v>
      </c>
      <c r="F570" s="2">
        <f>A570 &amp; " | " &amp; B570 &amp; " | " &amp; C570</f>
        <v>0</v>
      </c>
      <c r="G570" s="2" t="s">
        <v>1306</v>
      </c>
      <c r="I570" s="2" t="s">
        <v>53</v>
      </c>
    </row>
    <row r="571" spans="1:9">
      <c r="A571" s="2" t="s">
        <v>1307</v>
      </c>
      <c r="B571" s="2" t="s">
        <v>112</v>
      </c>
      <c r="C571" s="2" t="s">
        <v>77</v>
      </c>
      <c r="D571" s="2" t="s">
        <v>73</v>
      </c>
      <c r="E571" s="2">
        <f>SUMIF('03_LOTES'!B:B, F571, '03_LOTES'!E:E)</f>
        <v>0</v>
      </c>
      <c r="F571" s="2">
        <f>A571 &amp; " | " &amp; B571 &amp; " | " &amp; C571</f>
        <v>0</v>
      </c>
      <c r="G571" s="2" t="s">
        <v>1308</v>
      </c>
      <c r="I571" s="2" t="s">
        <v>53</v>
      </c>
    </row>
    <row r="572" spans="1:9">
      <c r="A572" s="2" t="s">
        <v>1309</v>
      </c>
      <c r="B572" s="2" t="s">
        <v>208</v>
      </c>
      <c r="C572" s="2" t="s">
        <v>77</v>
      </c>
      <c r="D572" s="2" t="s">
        <v>73</v>
      </c>
      <c r="E572" s="2">
        <f>SUMIF('03_LOTES'!B:B, F572, '03_LOTES'!E:E)</f>
        <v>0</v>
      </c>
      <c r="F572" s="2">
        <f>A572 &amp; " | " &amp; B572 &amp; " | " &amp; C572</f>
        <v>0</v>
      </c>
      <c r="G572" s="2" t="s">
        <v>1310</v>
      </c>
      <c r="I572" s="2" t="s">
        <v>53</v>
      </c>
    </row>
    <row r="573" spans="1:9">
      <c r="A573" s="2" t="s">
        <v>1311</v>
      </c>
      <c r="B573" s="2" t="s">
        <v>76</v>
      </c>
      <c r="C573" s="2" t="s">
        <v>77</v>
      </c>
      <c r="D573" s="2" t="s">
        <v>55</v>
      </c>
      <c r="E573" s="2">
        <f>SUMIF('03_LOTES'!B:B, F573, '03_LOTES'!E:E)</f>
        <v>0</v>
      </c>
      <c r="F573" s="2">
        <f>A573 &amp; " | " &amp; B573 &amp; " | " &amp; C573</f>
        <v>0</v>
      </c>
      <c r="G573" s="2" t="s">
        <v>1312</v>
      </c>
      <c r="I573" s="2" t="s">
        <v>53</v>
      </c>
    </row>
    <row r="574" spans="1:9">
      <c r="A574" s="2" t="s">
        <v>1311</v>
      </c>
      <c r="B574" s="2" t="s">
        <v>76</v>
      </c>
      <c r="C574" s="2" t="s">
        <v>96</v>
      </c>
      <c r="D574" s="2" t="s">
        <v>55</v>
      </c>
      <c r="E574" s="2">
        <f>SUMIF('03_LOTES'!B:B, F574, '03_LOTES'!E:E)</f>
        <v>0</v>
      </c>
      <c r="F574" s="2">
        <f>A574 &amp; " | " &amp; B574 &amp; " | " &amp; C574</f>
        <v>0</v>
      </c>
      <c r="G574" s="2" t="s">
        <v>1313</v>
      </c>
      <c r="I574" s="2" t="s">
        <v>53</v>
      </c>
    </row>
    <row r="575" spans="1:9">
      <c r="A575" s="2" t="s">
        <v>1314</v>
      </c>
      <c r="B575" s="2" t="s">
        <v>168</v>
      </c>
      <c r="C575" s="2" t="s">
        <v>77</v>
      </c>
      <c r="D575" s="2" t="s">
        <v>73</v>
      </c>
      <c r="E575" s="2">
        <f>SUMIF('03_LOTES'!B:B, F575, '03_LOTES'!E:E)</f>
        <v>0</v>
      </c>
      <c r="F575" s="2">
        <f>A575 &amp; " | " &amp; B575 &amp; " | " &amp; C575</f>
        <v>0</v>
      </c>
      <c r="G575" s="2" t="s">
        <v>1315</v>
      </c>
      <c r="I575" s="2" t="s">
        <v>53</v>
      </c>
    </row>
    <row r="576" spans="1:9">
      <c r="A576" s="2" t="s">
        <v>1316</v>
      </c>
      <c r="B576" s="2" t="s">
        <v>174</v>
      </c>
      <c r="C576" s="2" t="s">
        <v>96</v>
      </c>
      <c r="D576" s="2" t="s">
        <v>55</v>
      </c>
      <c r="E576" s="2">
        <f>SUMIF('03_LOTES'!B:B, F576, '03_LOTES'!E:E)</f>
        <v>0</v>
      </c>
      <c r="F576" s="2">
        <f>A576 &amp; " | " &amp; B576 &amp; " | " &amp; C576</f>
        <v>0</v>
      </c>
      <c r="G576" s="2" t="s">
        <v>1317</v>
      </c>
      <c r="I576" s="2" t="s">
        <v>53</v>
      </c>
    </row>
    <row r="577" spans="1:9">
      <c r="A577" s="2" t="s">
        <v>1318</v>
      </c>
      <c r="B577" s="2" t="s">
        <v>442</v>
      </c>
      <c r="C577" s="2" t="s">
        <v>77</v>
      </c>
      <c r="D577" s="2" t="s">
        <v>73</v>
      </c>
      <c r="E577" s="2">
        <f>SUMIF('03_LOTES'!B:B, F577, '03_LOTES'!E:E)</f>
        <v>0</v>
      </c>
      <c r="F577" s="2">
        <f>A577 &amp; " | " &amp; B577 &amp; " | " &amp; C577</f>
        <v>0</v>
      </c>
      <c r="G577" s="2" t="s">
        <v>1319</v>
      </c>
      <c r="I577" s="2" t="s">
        <v>53</v>
      </c>
    </row>
    <row r="578" spans="1:9">
      <c r="A578" s="2" t="s">
        <v>1320</v>
      </c>
      <c r="B578" s="2" t="s">
        <v>309</v>
      </c>
      <c r="C578" s="2" t="s">
        <v>77</v>
      </c>
      <c r="D578" s="2" t="s">
        <v>73</v>
      </c>
      <c r="E578" s="2">
        <f>SUMIF('03_LOTES'!B:B, F578, '03_LOTES'!E:E)</f>
        <v>0</v>
      </c>
      <c r="F578" s="2">
        <f>A578 &amp; " | " &amp; B578 &amp; " | " &amp; C578</f>
        <v>0</v>
      </c>
      <c r="G578" s="2" t="s">
        <v>1321</v>
      </c>
      <c r="I578" s="2" t="s">
        <v>53</v>
      </c>
    </row>
    <row r="579" spans="1:9">
      <c r="A579" s="2" t="s">
        <v>1320</v>
      </c>
      <c r="B579" s="2" t="s">
        <v>229</v>
      </c>
      <c r="C579" s="2" t="s">
        <v>148</v>
      </c>
      <c r="D579" s="2" t="s">
        <v>73</v>
      </c>
      <c r="E579" s="2">
        <f>SUMIF('03_LOTES'!B:B, F579, '03_LOTES'!E:E)</f>
        <v>0</v>
      </c>
      <c r="F579" s="2">
        <f>A579 &amp; " | " &amp; B579 &amp; " | " &amp; C579</f>
        <v>0</v>
      </c>
      <c r="G579" s="2" t="s">
        <v>1322</v>
      </c>
      <c r="I579" s="2" t="s">
        <v>53</v>
      </c>
    </row>
    <row r="580" spans="1:9">
      <c r="A580" s="2" t="s">
        <v>1320</v>
      </c>
      <c r="B580" s="2" t="s">
        <v>235</v>
      </c>
      <c r="C580" s="2" t="s">
        <v>105</v>
      </c>
      <c r="D580" s="2" t="s">
        <v>73</v>
      </c>
      <c r="E580" s="2">
        <f>SUMIF('03_LOTES'!B:B, F580, '03_LOTES'!E:E)</f>
        <v>0</v>
      </c>
      <c r="F580" s="2">
        <f>A580 &amp; " | " &amp; B580 &amp; " | " &amp; C580</f>
        <v>0</v>
      </c>
      <c r="G580" s="2" t="s">
        <v>1323</v>
      </c>
      <c r="I580" s="2" t="s">
        <v>53</v>
      </c>
    </row>
    <row r="581" spans="1:9">
      <c r="A581" s="2" t="s">
        <v>1324</v>
      </c>
      <c r="B581" s="2" t="s">
        <v>151</v>
      </c>
      <c r="C581" s="2" t="s">
        <v>351</v>
      </c>
      <c r="D581" s="2" t="s">
        <v>73</v>
      </c>
      <c r="E581" s="2">
        <f>SUMIF('03_LOTES'!B:B, F581, '03_LOTES'!E:E)</f>
        <v>0</v>
      </c>
      <c r="F581" s="2">
        <f>A581 &amp; " | " &amp; B581 &amp; " | " &amp; C581</f>
        <v>0</v>
      </c>
      <c r="G581" s="2" t="s">
        <v>1325</v>
      </c>
      <c r="I581" s="2" t="s">
        <v>53</v>
      </c>
    </row>
    <row r="582" spans="1:9">
      <c r="A582" s="2" t="s">
        <v>1324</v>
      </c>
      <c r="B582" s="2" t="s">
        <v>455</v>
      </c>
      <c r="C582" s="2" t="s">
        <v>351</v>
      </c>
      <c r="D582" s="2" t="s">
        <v>73</v>
      </c>
      <c r="E582" s="2">
        <f>SUMIF('03_LOTES'!B:B, F582, '03_LOTES'!E:E)</f>
        <v>0</v>
      </c>
      <c r="F582" s="2">
        <f>A582 &amp; " | " &amp; B582 &amp; " | " &amp; C582</f>
        <v>0</v>
      </c>
      <c r="G582" s="2" t="s">
        <v>1326</v>
      </c>
      <c r="I582" s="2" t="s">
        <v>53</v>
      </c>
    </row>
    <row r="583" spans="1:9">
      <c r="A583" s="2" t="s">
        <v>1324</v>
      </c>
      <c r="B583" s="2" t="s">
        <v>368</v>
      </c>
      <c r="C583" s="2" t="s">
        <v>351</v>
      </c>
      <c r="D583" s="2" t="s">
        <v>73</v>
      </c>
      <c r="E583" s="2">
        <f>SUMIF('03_LOTES'!B:B, F583, '03_LOTES'!E:E)</f>
        <v>0</v>
      </c>
      <c r="F583" s="2">
        <f>A583 &amp; " | " &amp; B583 &amp; " | " &amp; C583</f>
        <v>0</v>
      </c>
      <c r="G583" s="2" t="s">
        <v>1327</v>
      </c>
      <c r="I583" s="2" t="s">
        <v>53</v>
      </c>
    </row>
    <row r="584" spans="1:9">
      <c r="A584" s="2" t="s">
        <v>1328</v>
      </c>
      <c r="B584" s="2" t="s">
        <v>201</v>
      </c>
      <c r="C584" s="2" t="s">
        <v>77</v>
      </c>
      <c r="D584" s="2" t="s">
        <v>73</v>
      </c>
      <c r="E584" s="2">
        <f>SUMIF('03_LOTES'!B:B, F584, '03_LOTES'!E:E)</f>
        <v>0</v>
      </c>
      <c r="F584" s="2">
        <f>A584 &amp; " | " &amp; B584 &amp; " | " &amp; C584</f>
        <v>0</v>
      </c>
      <c r="G584" s="2" t="s">
        <v>1329</v>
      </c>
      <c r="I584" s="2" t="s">
        <v>53</v>
      </c>
    </row>
    <row r="585" spans="1:9">
      <c r="A585" s="2" t="s">
        <v>1328</v>
      </c>
      <c r="B585" s="2" t="s">
        <v>1330</v>
      </c>
      <c r="C585" s="2" t="s">
        <v>105</v>
      </c>
      <c r="D585" s="2" t="s">
        <v>73</v>
      </c>
      <c r="E585" s="2">
        <f>SUMIF('03_LOTES'!B:B, F585, '03_LOTES'!E:E)</f>
        <v>0</v>
      </c>
      <c r="F585" s="2">
        <f>A585 &amp; " | " &amp; B585 &amp; " | " &amp; C585</f>
        <v>0</v>
      </c>
      <c r="G585" s="2" t="s">
        <v>1331</v>
      </c>
      <c r="I585" s="2" t="s">
        <v>53</v>
      </c>
    </row>
    <row r="586" spans="1:9">
      <c r="A586" s="2" t="s">
        <v>1328</v>
      </c>
      <c r="B586" s="2" t="s">
        <v>309</v>
      </c>
      <c r="C586" s="2" t="s">
        <v>77</v>
      </c>
      <c r="D586" s="2" t="s">
        <v>73</v>
      </c>
      <c r="E586" s="2">
        <f>SUMIF('03_LOTES'!B:B, F586, '03_LOTES'!E:E)</f>
        <v>0</v>
      </c>
      <c r="F586" s="2">
        <f>A586 &amp; " | " &amp; B586 &amp; " | " &amp; C586</f>
        <v>0</v>
      </c>
      <c r="G586" s="2" t="s">
        <v>1332</v>
      </c>
      <c r="I586" s="2" t="s">
        <v>53</v>
      </c>
    </row>
    <row r="587" spans="1:9">
      <c r="A587" s="2" t="s">
        <v>1333</v>
      </c>
      <c r="B587" s="2" t="s">
        <v>107</v>
      </c>
      <c r="C587" s="2" t="s">
        <v>83</v>
      </c>
      <c r="D587" s="2" t="s">
        <v>73</v>
      </c>
      <c r="E587" s="2">
        <f>SUMIF('03_LOTES'!B:B, F587, '03_LOTES'!E:E)</f>
        <v>0</v>
      </c>
      <c r="F587" s="2">
        <f>A587 &amp; " | " &amp; B587 &amp; " | " &amp; C587</f>
        <v>0</v>
      </c>
      <c r="G587" s="2" t="s">
        <v>1334</v>
      </c>
      <c r="I587" s="2" t="s">
        <v>53</v>
      </c>
    </row>
    <row r="588" spans="1:9">
      <c r="A588" s="2" t="s">
        <v>1335</v>
      </c>
      <c r="B588" s="2" t="s">
        <v>151</v>
      </c>
      <c r="C588" s="2" t="s">
        <v>77</v>
      </c>
      <c r="D588" s="2" t="s">
        <v>73</v>
      </c>
      <c r="E588" s="2">
        <f>SUMIF('03_LOTES'!B:B, F588, '03_LOTES'!E:E)</f>
        <v>0</v>
      </c>
      <c r="F588" s="2">
        <f>A588 &amp; " | " &amp; B588 &amp; " | " &amp; C588</f>
        <v>0</v>
      </c>
      <c r="G588" s="2" t="s">
        <v>1336</v>
      </c>
      <c r="I588" s="2" t="s">
        <v>53</v>
      </c>
    </row>
    <row r="589" spans="1:9">
      <c r="A589" s="2" t="s">
        <v>1337</v>
      </c>
      <c r="B589" s="2" t="s">
        <v>171</v>
      </c>
      <c r="C589" s="2" t="s">
        <v>77</v>
      </c>
      <c r="D589" s="2" t="s">
        <v>73</v>
      </c>
      <c r="E589" s="2">
        <f>SUMIF('03_LOTES'!B:B, F589, '03_LOTES'!E:E)</f>
        <v>0</v>
      </c>
      <c r="F589" s="2">
        <f>A589 &amp; " | " &amp; B589 &amp; " | " &amp; C589</f>
        <v>0</v>
      </c>
      <c r="G589" s="2" t="s">
        <v>1338</v>
      </c>
      <c r="I589" s="2" t="s">
        <v>53</v>
      </c>
    </row>
    <row r="590" spans="1:9">
      <c r="A590" s="2" t="s">
        <v>1337</v>
      </c>
      <c r="B590" s="2" t="s">
        <v>855</v>
      </c>
      <c r="C590" s="2" t="s">
        <v>96</v>
      </c>
      <c r="D590" s="2" t="s">
        <v>73</v>
      </c>
      <c r="E590" s="2">
        <f>SUMIF('03_LOTES'!B:B, F590, '03_LOTES'!E:E)</f>
        <v>0</v>
      </c>
      <c r="F590" s="2">
        <f>A590 &amp; " | " &amp; B590 &amp; " | " &amp; C590</f>
        <v>0</v>
      </c>
      <c r="G590" s="2" t="s">
        <v>1339</v>
      </c>
      <c r="I590" s="2" t="s">
        <v>53</v>
      </c>
    </row>
    <row r="591" spans="1:9">
      <c r="A591" s="2" t="s">
        <v>1340</v>
      </c>
      <c r="B591" s="2" t="s">
        <v>232</v>
      </c>
      <c r="C591" s="2" t="s">
        <v>96</v>
      </c>
      <c r="D591" s="2" t="s">
        <v>73</v>
      </c>
      <c r="E591" s="2">
        <f>SUMIF('03_LOTES'!B:B, F591, '03_LOTES'!E:E)</f>
        <v>0</v>
      </c>
      <c r="F591" s="2">
        <f>A591 &amp; " | " &amp; B591 &amp; " | " &amp; C591</f>
        <v>0</v>
      </c>
      <c r="G591" s="2" t="s">
        <v>1341</v>
      </c>
      <c r="I591" s="2" t="s">
        <v>53</v>
      </c>
    </row>
    <row r="592" spans="1:9">
      <c r="A592" s="2" t="s">
        <v>1342</v>
      </c>
      <c r="B592" s="2" t="s">
        <v>665</v>
      </c>
      <c r="C592" s="2" t="s">
        <v>77</v>
      </c>
      <c r="D592" s="2" t="s">
        <v>73</v>
      </c>
      <c r="E592" s="2">
        <f>SUMIF('03_LOTES'!B:B, F592, '03_LOTES'!E:E)</f>
        <v>0</v>
      </c>
      <c r="F592" s="2">
        <f>A592 &amp; " | " &amp; B592 &amp; " | " &amp; C592</f>
        <v>0</v>
      </c>
      <c r="G592" s="2" t="s">
        <v>1343</v>
      </c>
      <c r="I592" s="2" t="s">
        <v>53</v>
      </c>
    </row>
    <row r="593" spans="1:9">
      <c r="A593" s="2" t="s">
        <v>1342</v>
      </c>
      <c r="B593" s="2" t="s">
        <v>235</v>
      </c>
      <c r="C593" s="2" t="s">
        <v>96</v>
      </c>
      <c r="D593" s="2" t="s">
        <v>73</v>
      </c>
      <c r="E593" s="2">
        <f>SUMIF('03_LOTES'!B:B, F593, '03_LOTES'!E:E)</f>
        <v>0</v>
      </c>
      <c r="F593" s="2">
        <f>A593 &amp; " | " &amp; B593 &amp; " | " &amp; C593</f>
        <v>0</v>
      </c>
      <c r="G593" s="2" t="s">
        <v>1344</v>
      </c>
      <c r="I593" s="2" t="s">
        <v>53</v>
      </c>
    </row>
    <row r="594" spans="1:9">
      <c r="A594" s="2" t="s">
        <v>1345</v>
      </c>
      <c r="B594" s="2" t="s">
        <v>232</v>
      </c>
      <c r="C594" s="2" t="s">
        <v>96</v>
      </c>
      <c r="D594" s="2" t="s">
        <v>73</v>
      </c>
      <c r="E594" s="2">
        <f>SUMIF('03_LOTES'!B:B, F594, '03_LOTES'!E:E)</f>
        <v>0</v>
      </c>
      <c r="F594" s="2">
        <f>A594 &amp; " | " &amp; B594 &amp; " | " &amp; C594</f>
        <v>0</v>
      </c>
      <c r="G594" s="2" t="s">
        <v>1346</v>
      </c>
      <c r="I594" s="2" t="s">
        <v>53</v>
      </c>
    </row>
    <row r="595" spans="1:9">
      <c r="A595" s="2" t="s">
        <v>1347</v>
      </c>
      <c r="B595" s="2" t="s">
        <v>90</v>
      </c>
      <c r="C595" s="2" t="s">
        <v>299</v>
      </c>
      <c r="D595" s="2" t="s">
        <v>73</v>
      </c>
      <c r="E595" s="2">
        <f>SUMIF('03_LOTES'!B:B, F595, '03_LOTES'!E:E)</f>
        <v>0</v>
      </c>
      <c r="F595" s="2">
        <f>A595 &amp; " | " &amp; B595 &amp; " | " &amp; C595</f>
        <v>0</v>
      </c>
      <c r="G595" s="2" t="s">
        <v>1348</v>
      </c>
      <c r="I595" s="2" t="s">
        <v>53</v>
      </c>
    </row>
    <row r="596" spans="1:9">
      <c r="A596" s="2" t="s">
        <v>1349</v>
      </c>
      <c r="B596" s="2" t="s">
        <v>327</v>
      </c>
      <c r="C596" s="2" t="s">
        <v>238</v>
      </c>
      <c r="D596" s="2" t="s">
        <v>73</v>
      </c>
      <c r="E596" s="2">
        <f>SUMIF('03_LOTES'!B:B, F596, '03_LOTES'!E:E)</f>
        <v>0</v>
      </c>
      <c r="F596" s="2">
        <f>A596 &amp; " | " &amp; B596 &amp; " | " &amp; C596</f>
        <v>0</v>
      </c>
      <c r="G596" s="2" t="s">
        <v>1350</v>
      </c>
      <c r="I596" s="2" t="s">
        <v>53</v>
      </c>
    </row>
    <row r="597" spans="1:9">
      <c r="A597" s="2" t="s">
        <v>1351</v>
      </c>
      <c r="B597" s="2" t="s">
        <v>225</v>
      </c>
      <c r="C597" s="2" t="s">
        <v>77</v>
      </c>
      <c r="D597" s="2" t="s">
        <v>73</v>
      </c>
      <c r="E597" s="2">
        <f>SUMIF('03_LOTES'!B:B, F597, '03_LOTES'!E:E)</f>
        <v>0</v>
      </c>
      <c r="F597" s="2">
        <f>A597 &amp; " | " &amp; B597 &amp; " | " &amp; C597</f>
        <v>0</v>
      </c>
      <c r="G597" s="2" t="s">
        <v>1352</v>
      </c>
      <c r="I597" s="2" t="s">
        <v>53</v>
      </c>
    </row>
    <row r="598" spans="1:9">
      <c r="A598" s="2" t="s">
        <v>1353</v>
      </c>
      <c r="B598" s="2" t="s">
        <v>76</v>
      </c>
      <c r="C598" s="2" t="s">
        <v>77</v>
      </c>
      <c r="D598" s="2" t="s">
        <v>73</v>
      </c>
      <c r="E598" s="2">
        <f>SUMIF('03_LOTES'!B:B, F598, '03_LOTES'!E:E)</f>
        <v>0</v>
      </c>
      <c r="F598" s="2">
        <f>A598 &amp; " | " &amp; B598 &amp; " | " &amp; C598</f>
        <v>0</v>
      </c>
      <c r="G598" s="2" t="s">
        <v>1354</v>
      </c>
      <c r="I598" s="2" t="s">
        <v>53</v>
      </c>
    </row>
    <row r="599" spans="1:9">
      <c r="A599" s="2" t="s">
        <v>1355</v>
      </c>
      <c r="B599" s="2" t="s">
        <v>442</v>
      </c>
      <c r="C599" s="2" t="s">
        <v>96</v>
      </c>
      <c r="D599" s="2" t="s">
        <v>73</v>
      </c>
      <c r="E599" s="2">
        <f>SUMIF('03_LOTES'!B:B, F599, '03_LOTES'!E:E)</f>
        <v>0</v>
      </c>
      <c r="F599" s="2">
        <f>A599 &amp; " | " &amp; B599 &amp; " | " &amp; C599</f>
        <v>0</v>
      </c>
      <c r="G599" s="2" t="s">
        <v>1356</v>
      </c>
      <c r="I599" s="2" t="s">
        <v>53</v>
      </c>
    </row>
    <row r="600" spans="1:9">
      <c r="A600" s="2" t="s">
        <v>1357</v>
      </c>
      <c r="B600" s="2" t="s">
        <v>102</v>
      </c>
      <c r="C600" s="2" t="s">
        <v>77</v>
      </c>
      <c r="D600" s="2" t="s">
        <v>73</v>
      </c>
      <c r="E600" s="2">
        <f>SUMIF('03_LOTES'!B:B, F600, '03_LOTES'!E:E)</f>
        <v>0</v>
      </c>
      <c r="F600" s="2">
        <f>A600 &amp; " | " &amp; B600 &amp; " | " &amp; C600</f>
        <v>0</v>
      </c>
      <c r="G600" s="2" t="s">
        <v>1358</v>
      </c>
      <c r="I600" s="2" t="s">
        <v>53</v>
      </c>
    </row>
    <row r="601" spans="1:9">
      <c r="A601" s="2" t="s">
        <v>1359</v>
      </c>
      <c r="B601" s="2" t="s">
        <v>368</v>
      </c>
      <c r="C601" s="2" t="s">
        <v>77</v>
      </c>
      <c r="D601" s="2" t="s">
        <v>70</v>
      </c>
      <c r="E601" s="2">
        <f>SUMIF('03_LOTES'!B:B, F601, '03_LOTES'!E:E)</f>
        <v>0</v>
      </c>
      <c r="F601" s="2">
        <f>A601 &amp; " | " &amp; B601 &amp; " | " &amp; C601</f>
        <v>0</v>
      </c>
      <c r="G601" s="2" t="s">
        <v>1360</v>
      </c>
      <c r="I601" s="2" t="s">
        <v>53</v>
      </c>
    </row>
    <row r="602" spans="1:9">
      <c r="A602" s="2" t="s">
        <v>1359</v>
      </c>
      <c r="B602" s="2" t="s">
        <v>151</v>
      </c>
      <c r="C602" s="2" t="s">
        <v>96</v>
      </c>
      <c r="D602" s="2" t="s">
        <v>70</v>
      </c>
      <c r="E602" s="2">
        <f>SUMIF('03_LOTES'!B:B, F602, '03_LOTES'!E:E)</f>
        <v>0</v>
      </c>
      <c r="F602" s="2">
        <f>A602 &amp; " | " &amp; B602 &amp; " | " &amp; C602</f>
        <v>0</v>
      </c>
      <c r="G602" s="2" t="s">
        <v>1361</v>
      </c>
      <c r="I602" s="2" t="s">
        <v>53</v>
      </c>
    </row>
    <row r="603" spans="1:9">
      <c r="A603" s="2" t="s">
        <v>1362</v>
      </c>
      <c r="B603" s="2" t="s">
        <v>309</v>
      </c>
      <c r="C603" s="2" t="s">
        <v>96</v>
      </c>
      <c r="D603" s="2" t="s">
        <v>73</v>
      </c>
      <c r="E603" s="2">
        <f>SUMIF('03_LOTES'!B:B, F603, '03_LOTES'!E:E)</f>
        <v>0</v>
      </c>
      <c r="F603" s="2">
        <f>A603 &amp; " | " &amp; B603 &amp; " | " &amp; C603</f>
        <v>0</v>
      </c>
      <c r="G603" s="2" t="s">
        <v>1363</v>
      </c>
      <c r="I603" s="2" t="s">
        <v>53</v>
      </c>
    </row>
    <row r="604" spans="1:9">
      <c r="A604" s="2" t="s">
        <v>1364</v>
      </c>
      <c r="B604" s="2" t="s">
        <v>1365</v>
      </c>
      <c r="C604" s="2" t="s">
        <v>1366</v>
      </c>
      <c r="D604" s="2" t="s">
        <v>73</v>
      </c>
      <c r="E604" s="2">
        <f>SUMIF('03_LOTES'!B:B, F604, '03_LOTES'!E:E)</f>
        <v>0</v>
      </c>
      <c r="F604" s="2">
        <f>A604 &amp; " | " &amp; B604 &amp; " | " &amp; C604</f>
        <v>0</v>
      </c>
      <c r="G604" s="2" t="s">
        <v>1367</v>
      </c>
      <c r="I604" s="2" t="s">
        <v>53</v>
      </c>
    </row>
    <row r="605" spans="1:9">
      <c r="A605" s="2" t="s">
        <v>1368</v>
      </c>
      <c r="B605" s="2" t="s">
        <v>95</v>
      </c>
      <c r="C605" s="2" t="s">
        <v>249</v>
      </c>
      <c r="D605" s="2" t="s">
        <v>73</v>
      </c>
      <c r="E605" s="2">
        <f>SUMIF('03_LOTES'!B:B, F605, '03_LOTES'!E:E)</f>
        <v>0</v>
      </c>
      <c r="F605" s="2">
        <f>A605 &amp; " | " &amp; B605 &amp; " | " &amp; C605</f>
        <v>0</v>
      </c>
      <c r="G605" s="2" t="s">
        <v>1369</v>
      </c>
      <c r="I605" s="2" t="s">
        <v>53</v>
      </c>
    </row>
    <row r="606" spans="1:9">
      <c r="A606" s="2" t="s">
        <v>1370</v>
      </c>
      <c r="B606" s="2" t="s">
        <v>216</v>
      </c>
      <c r="C606" s="2" t="s">
        <v>1371</v>
      </c>
      <c r="D606" s="2" t="s">
        <v>67</v>
      </c>
      <c r="E606" s="2">
        <f>SUMIF('03_LOTES'!B:B, F606, '03_LOTES'!E:E)</f>
        <v>0</v>
      </c>
      <c r="F606" s="2">
        <f>A606 &amp; " | " &amp; B606 &amp; " | " &amp; C606</f>
        <v>0</v>
      </c>
      <c r="G606" s="2" t="s">
        <v>1372</v>
      </c>
      <c r="I606" s="2" t="s">
        <v>53</v>
      </c>
    </row>
    <row r="607" spans="1:9">
      <c r="A607" s="2" t="s">
        <v>1370</v>
      </c>
      <c r="B607" s="2" t="s">
        <v>1373</v>
      </c>
      <c r="C607" s="2" t="s">
        <v>1371</v>
      </c>
      <c r="D607" s="2" t="s">
        <v>67</v>
      </c>
      <c r="E607" s="2">
        <f>SUMIF('03_LOTES'!B:B, F607, '03_LOTES'!E:E)</f>
        <v>0</v>
      </c>
      <c r="F607" s="2">
        <f>A607 &amp; " | " &amp; B607 &amp; " | " &amp; C607</f>
        <v>0</v>
      </c>
      <c r="G607" s="2" t="s">
        <v>1374</v>
      </c>
      <c r="I607" s="2" t="s">
        <v>53</v>
      </c>
    </row>
    <row r="608" spans="1:9">
      <c r="A608" s="2" t="s">
        <v>1370</v>
      </c>
      <c r="B608" s="2" t="s">
        <v>1203</v>
      </c>
      <c r="C608" s="2" t="s">
        <v>1371</v>
      </c>
      <c r="D608" s="2" t="s">
        <v>67</v>
      </c>
      <c r="E608" s="2">
        <f>SUMIF('03_LOTES'!B:B, F608, '03_LOTES'!E:E)</f>
        <v>0</v>
      </c>
      <c r="F608" s="2">
        <f>A608 &amp; " | " &amp; B608 &amp; " | " &amp; C608</f>
        <v>0</v>
      </c>
      <c r="G608" s="2" t="s">
        <v>1375</v>
      </c>
      <c r="I608" s="2" t="s">
        <v>53</v>
      </c>
    </row>
    <row r="609" spans="1:9">
      <c r="A609" s="2" t="s">
        <v>1370</v>
      </c>
      <c r="B609" s="2" t="s">
        <v>1376</v>
      </c>
      <c r="C609" s="2" t="s">
        <v>1371</v>
      </c>
      <c r="D609" s="2" t="s">
        <v>67</v>
      </c>
      <c r="E609" s="2">
        <f>SUMIF('03_LOTES'!B:B, F609, '03_LOTES'!E:E)</f>
        <v>0</v>
      </c>
      <c r="F609" s="2">
        <f>A609 &amp; " | " &amp; B609 &amp; " | " &amp; C609</f>
        <v>0</v>
      </c>
      <c r="G609" s="2" t="s">
        <v>1377</v>
      </c>
      <c r="I609" s="2" t="s">
        <v>53</v>
      </c>
    </row>
    <row r="610" spans="1:9">
      <c r="A610" s="2" t="s">
        <v>1378</v>
      </c>
      <c r="B610" s="2" t="s">
        <v>382</v>
      </c>
      <c r="C610" s="2" t="s">
        <v>105</v>
      </c>
      <c r="D610" s="2" t="s">
        <v>73</v>
      </c>
      <c r="E610" s="2">
        <f>SUMIF('03_LOTES'!B:B, F610, '03_LOTES'!E:E)</f>
        <v>0</v>
      </c>
      <c r="F610" s="2">
        <f>A610 &amp; " | " &amp; B610 &amp; " | " &amp; C610</f>
        <v>0</v>
      </c>
      <c r="G610" s="2" t="s">
        <v>1379</v>
      </c>
      <c r="I610" s="2" t="s">
        <v>53</v>
      </c>
    </row>
    <row r="611" spans="1:9">
      <c r="A611" s="2" t="s">
        <v>1378</v>
      </c>
      <c r="B611" s="2" t="s">
        <v>76</v>
      </c>
      <c r="C611" s="2" t="s">
        <v>219</v>
      </c>
      <c r="D611" s="2" t="s">
        <v>73</v>
      </c>
      <c r="E611" s="2">
        <f>SUMIF('03_LOTES'!B:B, F611, '03_LOTES'!E:E)</f>
        <v>0</v>
      </c>
      <c r="F611" s="2">
        <f>A611 &amp; " | " &amp; B611 &amp; " | " &amp; C611</f>
        <v>0</v>
      </c>
      <c r="G611" s="2" t="s">
        <v>1380</v>
      </c>
      <c r="I611" s="2" t="s">
        <v>53</v>
      </c>
    </row>
    <row r="612" spans="1:9">
      <c r="A612" s="2" t="s">
        <v>1378</v>
      </c>
      <c r="B612" s="2" t="s">
        <v>368</v>
      </c>
      <c r="C612" s="2" t="s">
        <v>219</v>
      </c>
      <c r="D612" s="2" t="s">
        <v>73</v>
      </c>
      <c r="E612" s="2">
        <f>SUMIF('03_LOTES'!B:B, F612, '03_LOTES'!E:E)</f>
        <v>0</v>
      </c>
      <c r="F612" s="2">
        <f>A612 &amp; " | " &amp; B612 &amp; " | " &amp; C612</f>
        <v>0</v>
      </c>
      <c r="G612" s="2" t="s">
        <v>1381</v>
      </c>
      <c r="I612" s="2" t="s">
        <v>53</v>
      </c>
    </row>
    <row r="613" spans="1:9">
      <c r="A613" s="2" t="s">
        <v>1382</v>
      </c>
      <c r="B613" s="2" t="s">
        <v>1383</v>
      </c>
      <c r="C613" s="2" t="s">
        <v>77</v>
      </c>
      <c r="D613" s="2" t="s">
        <v>73</v>
      </c>
      <c r="E613" s="2">
        <f>SUMIF('03_LOTES'!B:B, F613, '03_LOTES'!E:E)</f>
        <v>0</v>
      </c>
      <c r="F613" s="2">
        <f>A613 &amp; " | " &amp; B613 &amp; " | " &amp; C613</f>
        <v>0</v>
      </c>
      <c r="G613" s="2" t="s">
        <v>1384</v>
      </c>
      <c r="I613" s="2" t="s">
        <v>53</v>
      </c>
    </row>
    <row r="614" spans="1:9">
      <c r="A614" s="2" t="s">
        <v>1385</v>
      </c>
      <c r="B614" s="2" t="s">
        <v>1386</v>
      </c>
      <c r="C614" s="2" t="s">
        <v>77</v>
      </c>
      <c r="D614" s="2" t="s">
        <v>73</v>
      </c>
      <c r="E614" s="2">
        <f>SUMIF('03_LOTES'!B:B, F614, '03_LOTES'!E:E)</f>
        <v>0</v>
      </c>
      <c r="F614" s="2">
        <f>A614 &amp; " | " &amp; B614 &amp; " | " &amp; C614</f>
        <v>0</v>
      </c>
      <c r="G614" s="2" t="s">
        <v>1387</v>
      </c>
      <c r="I614" s="2" t="s">
        <v>53</v>
      </c>
    </row>
    <row r="615" spans="1:9">
      <c r="A615" s="2" t="s">
        <v>1385</v>
      </c>
      <c r="B615" s="2" t="s">
        <v>1388</v>
      </c>
      <c r="C615" s="2" t="s">
        <v>77</v>
      </c>
      <c r="D615" s="2" t="s">
        <v>73</v>
      </c>
      <c r="E615" s="2">
        <f>SUMIF('03_LOTES'!B:B, F615, '03_LOTES'!E:E)</f>
        <v>0</v>
      </c>
      <c r="F615" s="2">
        <f>A615 &amp; " | " &amp; B615 &amp; " | " &amp; C615</f>
        <v>0</v>
      </c>
      <c r="G615" s="2" t="s">
        <v>1389</v>
      </c>
      <c r="I615" s="2" t="s">
        <v>53</v>
      </c>
    </row>
    <row r="616" spans="1:9">
      <c r="A616" s="2" t="s">
        <v>1390</v>
      </c>
      <c r="B616" s="2" t="s">
        <v>1391</v>
      </c>
      <c r="C616" s="2" t="s">
        <v>77</v>
      </c>
      <c r="D616" s="2" t="s">
        <v>73</v>
      </c>
      <c r="E616" s="2">
        <f>SUMIF('03_LOTES'!B:B, F616, '03_LOTES'!E:E)</f>
        <v>0</v>
      </c>
      <c r="F616" s="2">
        <f>A616 &amp; " | " &amp; B616 &amp; " | " &amp; C616</f>
        <v>0</v>
      </c>
      <c r="G616" s="2" t="s">
        <v>1392</v>
      </c>
      <c r="I616" s="2" t="s">
        <v>53</v>
      </c>
    </row>
    <row r="617" spans="1:9">
      <c r="A617" s="2" t="s">
        <v>1390</v>
      </c>
      <c r="B617" s="2" t="s">
        <v>222</v>
      </c>
      <c r="C617" s="2" t="s">
        <v>77</v>
      </c>
      <c r="D617" s="2" t="s">
        <v>73</v>
      </c>
      <c r="E617" s="2">
        <f>SUMIF('03_LOTES'!B:B, F617, '03_LOTES'!E:E)</f>
        <v>0</v>
      </c>
      <c r="F617" s="2">
        <f>A617 &amp; " | " &amp; B617 &amp; " | " &amp; C617</f>
        <v>0</v>
      </c>
      <c r="G617" s="2" t="s">
        <v>1393</v>
      </c>
      <c r="I617" s="2" t="s">
        <v>53</v>
      </c>
    </row>
    <row r="618" spans="1:9">
      <c r="A618" s="2" t="s">
        <v>1394</v>
      </c>
      <c r="B618" s="2" t="s">
        <v>961</v>
      </c>
      <c r="C618" s="2" t="s">
        <v>77</v>
      </c>
      <c r="D618" s="2" t="s">
        <v>73</v>
      </c>
      <c r="E618" s="2">
        <f>SUMIF('03_LOTES'!B:B, F618, '03_LOTES'!E:E)</f>
        <v>0</v>
      </c>
      <c r="F618" s="2">
        <f>A618 &amp; " | " &amp; B618 &amp; " | " &amp; C618</f>
        <v>0</v>
      </c>
      <c r="G618" s="2" t="s">
        <v>1395</v>
      </c>
      <c r="I618" s="2" t="s">
        <v>53</v>
      </c>
    </row>
    <row r="619" spans="1:9">
      <c r="A619" s="2" t="s">
        <v>1396</v>
      </c>
      <c r="B619" s="2" t="s">
        <v>171</v>
      </c>
      <c r="C619" s="2" t="s">
        <v>77</v>
      </c>
      <c r="D619" s="2" t="s">
        <v>73</v>
      </c>
      <c r="E619" s="2">
        <f>SUMIF('03_LOTES'!B:B, F619, '03_LOTES'!E:E)</f>
        <v>0</v>
      </c>
      <c r="F619" s="2">
        <f>A619 &amp; " | " &amp; B619 &amp; " | " &amp; C619</f>
        <v>0</v>
      </c>
      <c r="G619" s="2" t="s">
        <v>1397</v>
      </c>
      <c r="I619" s="2" t="s">
        <v>53</v>
      </c>
    </row>
    <row r="620" spans="1:9">
      <c r="A620" s="2" t="s">
        <v>1396</v>
      </c>
      <c r="B620" s="2" t="s">
        <v>232</v>
      </c>
      <c r="C620" s="2" t="s">
        <v>96</v>
      </c>
      <c r="D620" s="2" t="s">
        <v>73</v>
      </c>
      <c r="E620" s="2">
        <f>SUMIF('03_LOTES'!B:B, F620, '03_LOTES'!E:E)</f>
        <v>0</v>
      </c>
      <c r="F620" s="2">
        <f>A620 &amp; " | " &amp; B620 &amp; " | " &amp; C620</f>
        <v>0</v>
      </c>
      <c r="G620" s="2" t="s">
        <v>1398</v>
      </c>
      <c r="I620" s="2" t="s">
        <v>53</v>
      </c>
    </row>
    <row r="621" spans="1:9">
      <c r="A621" s="2" t="s">
        <v>1399</v>
      </c>
      <c r="B621" s="2" t="s">
        <v>225</v>
      </c>
      <c r="C621" s="2" t="s">
        <v>411</v>
      </c>
      <c r="D621" s="2" t="s">
        <v>73</v>
      </c>
      <c r="E621" s="2">
        <f>SUMIF('03_LOTES'!B:B, F621, '03_LOTES'!E:E)</f>
        <v>0</v>
      </c>
      <c r="F621" s="2">
        <f>A621 &amp; " | " &amp; B621 &amp; " | " &amp; C621</f>
        <v>0</v>
      </c>
      <c r="G621" s="2" t="s">
        <v>1400</v>
      </c>
      <c r="I621" s="2" t="s">
        <v>53</v>
      </c>
    </row>
    <row r="622" spans="1:9">
      <c r="A622" s="2" t="s">
        <v>1401</v>
      </c>
      <c r="B622" s="2" t="s">
        <v>1402</v>
      </c>
      <c r="C622" s="2" t="s">
        <v>96</v>
      </c>
      <c r="D622" s="2" t="s">
        <v>73</v>
      </c>
      <c r="E622" s="2">
        <f>SUMIF('03_LOTES'!B:B, F622, '03_LOTES'!E:E)</f>
        <v>0</v>
      </c>
      <c r="F622" s="2">
        <f>A622 &amp; " | " &amp; B622 &amp; " | " &amp; C622</f>
        <v>0</v>
      </c>
      <c r="G622" s="2" t="s">
        <v>1403</v>
      </c>
      <c r="I622" s="2" t="s">
        <v>53</v>
      </c>
    </row>
    <row r="623" spans="1:9">
      <c r="A623" s="2" t="s">
        <v>1401</v>
      </c>
      <c r="B623" s="2" t="s">
        <v>1404</v>
      </c>
      <c r="C623" s="2" t="s">
        <v>96</v>
      </c>
      <c r="D623" s="2" t="s">
        <v>73</v>
      </c>
      <c r="E623" s="2">
        <f>SUMIF('03_LOTES'!B:B, F623, '03_LOTES'!E:E)</f>
        <v>0</v>
      </c>
      <c r="F623" s="2">
        <f>A623 &amp; " | " &amp; B623 &amp; " | " &amp; C623</f>
        <v>0</v>
      </c>
      <c r="G623" s="2" t="s">
        <v>1405</v>
      </c>
      <c r="I623" s="2" t="s">
        <v>53</v>
      </c>
    </row>
    <row r="624" spans="1:9">
      <c r="A624" s="2" t="s">
        <v>1406</v>
      </c>
      <c r="B624" s="2" t="s">
        <v>171</v>
      </c>
      <c r="C624" s="2" t="s">
        <v>77</v>
      </c>
      <c r="D624" s="2" t="s">
        <v>73</v>
      </c>
      <c r="E624" s="2">
        <f>SUMIF('03_LOTES'!B:B, F624, '03_LOTES'!E:E)</f>
        <v>0</v>
      </c>
      <c r="F624" s="2">
        <f>A624 &amp; " | " &amp; B624 &amp; " | " &amp; C624</f>
        <v>0</v>
      </c>
      <c r="G624" s="2" t="s">
        <v>1407</v>
      </c>
      <c r="I624" s="2" t="s">
        <v>53</v>
      </c>
    </row>
    <row r="625" spans="1:9">
      <c r="A625" s="2" t="s">
        <v>1408</v>
      </c>
      <c r="B625" s="2" t="s">
        <v>232</v>
      </c>
      <c r="C625" s="2" t="s">
        <v>96</v>
      </c>
      <c r="D625" s="2" t="s">
        <v>73</v>
      </c>
      <c r="E625" s="2">
        <f>SUMIF('03_LOTES'!B:B, F625, '03_LOTES'!E:E)</f>
        <v>0</v>
      </c>
      <c r="F625" s="2">
        <f>A625 &amp; " | " &amp; B625 &amp; " | " &amp; C625</f>
        <v>0</v>
      </c>
      <c r="G625" s="2" t="s">
        <v>1409</v>
      </c>
      <c r="I625" s="2" t="s">
        <v>53</v>
      </c>
    </row>
    <row r="626" spans="1:9">
      <c r="A626" s="2" t="s">
        <v>1410</v>
      </c>
      <c r="B626" s="2" t="s">
        <v>229</v>
      </c>
      <c r="C626" s="2" t="s">
        <v>77</v>
      </c>
      <c r="D626" s="2" t="s">
        <v>73</v>
      </c>
      <c r="E626" s="2">
        <f>SUMIF('03_LOTES'!B:B, F626, '03_LOTES'!E:E)</f>
        <v>0</v>
      </c>
      <c r="F626" s="2">
        <f>A626 &amp; " | " &amp; B626 &amp; " | " &amp; C626</f>
        <v>0</v>
      </c>
      <c r="G626" s="2" t="s">
        <v>1411</v>
      </c>
      <c r="I626" s="2" t="s">
        <v>53</v>
      </c>
    </row>
    <row r="627" spans="1:9">
      <c r="A627" s="2" t="s">
        <v>1412</v>
      </c>
      <c r="B627" s="2" t="s">
        <v>855</v>
      </c>
      <c r="C627" s="2" t="s">
        <v>1413</v>
      </c>
      <c r="D627" s="2" t="s">
        <v>73</v>
      </c>
      <c r="E627" s="2">
        <f>SUMIF('03_LOTES'!B:B, F627, '03_LOTES'!E:E)</f>
        <v>0</v>
      </c>
      <c r="F627" s="2">
        <f>A627 &amp; " | " &amp; B627 &amp; " | " &amp; C627</f>
        <v>0</v>
      </c>
      <c r="G627" s="2" t="s">
        <v>1414</v>
      </c>
      <c r="I627" s="2" t="s">
        <v>53</v>
      </c>
    </row>
    <row r="628" spans="1:9">
      <c r="A628" s="2" t="s">
        <v>1412</v>
      </c>
      <c r="B628" s="2" t="s">
        <v>287</v>
      </c>
      <c r="C628" s="2" t="s">
        <v>77</v>
      </c>
      <c r="D628" s="2" t="s">
        <v>73</v>
      </c>
      <c r="E628" s="2">
        <f>SUMIF('03_LOTES'!B:B, F628, '03_LOTES'!E:E)</f>
        <v>0</v>
      </c>
      <c r="F628" s="2">
        <f>A628 &amp; " | " &amp; B628 &amp; " | " &amp; C628</f>
        <v>0</v>
      </c>
      <c r="G628" s="2" t="s">
        <v>1415</v>
      </c>
      <c r="I628" s="2" t="s">
        <v>53</v>
      </c>
    </row>
    <row r="629" spans="1:9">
      <c r="A629" s="2" t="s">
        <v>1412</v>
      </c>
      <c r="B629" s="2" t="s">
        <v>1416</v>
      </c>
      <c r="C629" s="2" t="s">
        <v>256</v>
      </c>
      <c r="D629" s="2" t="s">
        <v>73</v>
      </c>
      <c r="E629" s="2">
        <f>SUMIF('03_LOTES'!B:B, F629, '03_LOTES'!E:E)</f>
        <v>0</v>
      </c>
      <c r="F629" s="2">
        <f>A629 &amp; " | " &amp; B629 &amp; " | " &amp; C629</f>
        <v>0</v>
      </c>
      <c r="G629" s="2" t="s">
        <v>1417</v>
      </c>
      <c r="I629" s="2" t="s">
        <v>53</v>
      </c>
    </row>
    <row r="630" spans="1:9">
      <c r="A630" s="2" t="s">
        <v>1418</v>
      </c>
      <c r="B630" s="2" t="s">
        <v>141</v>
      </c>
      <c r="C630" s="2" t="s">
        <v>1419</v>
      </c>
      <c r="D630" s="2" t="s">
        <v>73</v>
      </c>
      <c r="E630" s="2">
        <f>SUMIF('03_LOTES'!B:B, F630, '03_LOTES'!E:E)</f>
        <v>0</v>
      </c>
      <c r="F630" s="2">
        <f>A630 &amp; " | " &amp; B630 &amp; " | " &amp; C630</f>
        <v>0</v>
      </c>
      <c r="G630" s="2" t="s">
        <v>1420</v>
      </c>
      <c r="I630" s="2" t="s">
        <v>53</v>
      </c>
    </row>
    <row r="631" spans="1:9">
      <c r="A631" s="2" t="s">
        <v>1421</v>
      </c>
      <c r="B631" s="2" t="s">
        <v>1422</v>
      </c>
      <c r="C631" s="2" t="s">
        <v>256</v>
      </c>
      <c r="D631" s="2" t="s">
        <v>73</v>
      </c>
      <c r="E631" s="2">
        <f>SUMIF('03_LOTES'!B:B, F631, '03_LOTES'!E:E)</f>
        <v>0</v>
      </c>
      <c r="F631" s="2">
        <f>A631 &amp; " | " &amp; B631 &amp; " | " &amp; C631</f>
        <v>0</v>
      </c>
      <c r="G631" s="2" t="s">
        <v>1423</v>
      </c>
      <c r="I631" s="2" t="s">
        <v>53</v>
      </c>
    </row>
    <row r="632" spans="1:9">
      <c r="A632" s="2" t="s">
        <v>1424</v>
      </c>
      <c r="B632" s="2" t="s">
        <v>1425</v>
      </c>
      <c r="C632" s="2" t="s">
        <v>447</v>
      </c>
      <c r="D632" s="2" t="s">
        <v>73</v>
      </c>
      <c r="E632" s="2">
        <f>SUMIF('03_LOTES'!B:B, F632, '03_LOTES'!E:E)</f>
        <v>0</v>
      </c>
      <c r="F632" s="2">
        <f>A632 &amp; " | " &amp; B632 &amp; " | " &amp; C632</f>
        <v>0</v>
      </c>
      <c r="G632" s="2" t="s">
        <v>1426</v>
      </c>
      <c r="I632" s="2" t="s">
        <v>53</v>
      </c>
    </row>
    <row r="633" spans="1:9">
      <c r="A633" s="2" t="s">
        <v>1427</v>
      </c>
      <c r="B633" s="2" t="s">
        <v>151</v>
      </c>
      <c r="C633" s="2" t="s">
        <v>77</v>
      </c>
      <c r="D633" s="2" t="s">
        <v>73</v>
      </c>
      <c r="E633" s="2">
        <f>SUMIF('03_LOTES'!B:B, F633, '03_LOTES'!E:E)</f>
        <v>0</v>
      </c>
      <c r="F633" s="2">
        <f>A633 &amp; " | " &amp; B633 &amp; " | " &amp; C633</f>
        <v>0</v>
      </c>
      <c r="G633" s="2" t="s">
        <v>1428</v>
      </c>
      <c r="I633" s="2" t="s">
        <v>53</v>
      </c>
    </row>
    <row r="634" spans="1:9">
      <c r="A634" s="2" t="s">
        <v>1429</v>
      </c>
      <c r="B634" s="2" t="s">
        <v>1430</v>
      </c>
      <c r="C634" s="2" t="s">
        <v>105</v>
      </c>
      <c r="D634" s="2" t="s">
        <v>73</v>
      </c>
      <c r="E634" s="2">
        <f>SUMIF('03_LOTES'!B:B, F634, '03_LOTES'!E:E)</f>
        <v>0</v>
      </c>
      <c r="F634" s="2">
        <f>A634 &amp; " | " &amp; B634 &amp; " | " &amp; C634</f>
        <v>0</v>
      </c>
      <c r="G634" s="2" t="s">
        <v>1431</v>
      </c>
      <c r="I634" s="2" t="s">
        <v>53</v>
      </c>
    </row>
    <row r="635" spans="1:9">
      <c r="A635" s="2" t="s">
        <v>1429</v>
      </c>
      <c r="B635" s="2" t="s">
        <v>225</v>
      </c>
      <c r="C635" s="2" t="s">
        <v>77</v>
      </c>
      <c r="D635" s="2" t="s">
        <v>73</v>
      </c>
      <c r="E635" s="2">
        <f>SUMIF('03_LOTES'!B:B, F635, '03_LOTES'!E:E)</f>
        <v>0</v>
      </c>
      <c r="F635" s="2">
        <f>A635 &amp; " | " &amp; B635 &amp; " | " &amp; C635</f>
        <v>0</v>
      </c>
      <c r="G635" s="2" t="s">
        <v>1432</v>
      </c>
      <c r="I635" s="2" t="s">
        <v>53</v>
      </c>
    </row>
    <row r="636" spans="1:9">
      <c r="A636" s="2" t="s">
        <v>1433</v>
      </c>
      <c r="B636" s="2" t="s">
        <v>102</v>
      </c>
      <c r="C636" s="2" t="s">
        <v>77</v>
      </c>
      <c r="D636" s="2" t="s">
        <v>73</v>
      </c>
      <c r="E636" s="2">
        <f>SUMIF('03_LOTES'!B:B, F636, '03_LOTES'!E:E)</f>
        <v>0</v>
      </c>
      <c r="F636" s="2">
        <f>A636 &amp; " | " &amp; B636 &amp; " | " &amp; C636</f>
        <v>0</v>
      </c>
      <c r="G636" s="2" t="s">
        <v>1434</v>
      </c>
      <c r="I636" s="2" t="s">
        <v>53</v>
      </c>
    </row>
    <row r="637" spans="1:9">
      <c r="A637" s="2" t="s">
        <v>1435</v>
      </c>
      <c r="B637" s="2" t="s">
        <v>90</v>
      </c>
      <c r="C637" s="2" t="s">
        <v>447</v>
      </c>
      <c r="D637" s="2" t="s">
        <v>73</v>
      </c>
      <c r="E637" s="2">
        <f>SUMIF('03_LOTES'!B:B, F637, '03_LOTES'!E:E)</f>
        <v>0</v>
      </c>
      <c r="F637" s="2">
        <f>A637 &amp; " | " &amp; B637 &amp; " | " &amp; C637</f>
        <v>0</v>
      </c>
      <c r="G637" s="2" t="s">
        <v>1436</v>
      </c>
      <c r="I637" s="2" t="s">
        <v>53</v>
      </c>
    </row>
    <row r="638" spans="1:9">
      <c r="A638" s="2" t="s">
        <v>1437</v>
      </c>
      <c r="B638" s="2" t="s">
        <v>90</v>
      </c>
      <c r="C638" s="2" t="s">
        <v>447</v>
      </c>
      <c r="D638" s="2" t="s">
        <v>73</v>
      </c>
      <c r="E638" s="2">
        <f>SUMIF('03_LOTES'!B:B, F638, '03_LOTES'!E:E)</f>
        <v>0</v>
      </c>
      <c r="F638" s="2">
        <f>A638 &amp; " | " &amp; B638 &amp; " | " &amp; C638</f>
        <v>0</v>
      </c>
      <c r="G638" s="2" t="s">
        <v>1438</v>
      </c>
      <c r="I638" s="2" t="s">
        <v>53</v>
      </c>
    </row>
    <row r="639" spans="1:9">
      <c r="A639" s="2" t="s">
        <v>1439</v>
      </c>
      <c r="B639" s="2" t="s">
        <v>90</v>
      </c>
      <c r="C639" s="2" t="s">
        <v>447</v>
      </c>
      <c r="D639" s="2" t="s">
        <v>73</v>
      </c>
      <c r="E639" s="2">
        <f>SUMIF('03_LOTES'!B:B, F639, '03_LOTES'!E:E)</f>
        <v>0</v>
      </c>
      <c r="F639" s="2">
        <f>A639 &amp; " | " &amp; B639 &amp; " | " &amp; C639</f>
        <v>0</v>
      </c>
      <c r="G639" s="2" t="s">
        <v>1440</v>
      </c>
      <c r="I639" s="2" t="s">
        <v>53</v>
      </c>
    </row>
    <row r="640" spans="1:9">
      <c r="A640" s="2" t="s">
        <v>1441</v>
      </c>
      <c r="B640" s="2" t="s">
        <v>1442</v>
      </c>
      <c r="C640" s="2" t="s">
        <v>161</v>
      </c>
      <c r="D640" s="2" t="s">
        <v>73</v>
      </c>
      <c r="E640" s="2">
        <f>SUMIF('03_LOTES'!B:B, F640, '03_LOTES'!E:E)</f>
        <v>0</v>
      </c>
      <c r="F640" s="2">
        <f>A640 &amp; " | " &amp; B640 &amp; " | " &amp; C640</f>
        <v>0</v>
      </c>
      <c r="G640" s="2" t="s">
        <v>1443</v>
      </c>
      <c r="I640" s="2" t="s">
        <v>53</v>
      </c>
    </row>
    <row r="641" spans="1:9">
      <c r="A641" s="2" t="s">
        <v>1441</v>
      </c>
      <c r="B641" s="2" t="s">
        <v>1444</v>
      </c>
      <c r="C641" s="2" t="s">
        <v>161</v>
      </c>
      <c r="D641" s="2" t="s">
        <v>73</v>
      </c>
      <c r="E641" s="2">
        <f>SUMIF('03_LOTES'!B:B, F641, '03_LOTES'!E:E)</f>
        <v>0</v>
      </c>
      <c r="F641" s="2">
        <f>A641 &amp; " | " &amp; B641 &amp; " | " &amp; C641</f>
        <v>0</v>
      </c>
      <c r="G641" s="2" t="s">
        <v>1445</v>
      </c>
      <c r="I641" s="2" t="s">
        <v>53</v>
      </c>
    </row>
    <row r="642" spans="1:9">
      <c r="A642" s="2" t="s">
        <v>1441</v>
      </c>
      <c r="B642" s="2" t="s">
        <v>1446</v>
      </c>
      <c r="C642" s="2" t="s">
        <v>1447</v>
      </c>
      <c r="D642" s="2" t="s">
        <v>73</v>
      </c>
      <c r="E642" s="2">
        <f>SUMIF('03_LOTES'!B:B, F642, '03_LOTES'!E:E)</f>
        <v>0</v>
      </c>
      <c r="F642" s="2">
        <f>A642 &amp; " | " &amp; B642 &amp; " | " &amp; C642</f>
        <v>0</v>
      </c>
      <c r="G642" s="2" t="s">
        <v>1448</v>
      </c>
      <c r="I642" s="2" t="s">
        <v>53</v>
      </c>
    </row>
    <row r="643" spans="1:9">
      <c r="A643" s="2" t="s">
        <v>1441</v>
      </c>
      <c r="B643" s="2" t="s">
        <v>1449</v>
      </c>
      <c r="C643" s="2" t="s">
        <v>1447</v>
      </c>
      <c r="D643" s="2" t="s">
        <v>73</v>
      </c>
      <c r="E643" s="2">
        <f>SUMIF('03_LOTES'!B:B, F643, '03_LOTES'!E:E)</f>
        <v>0</v>
      </c>
      <c r="F643" s="2">
        <f>A643 &amp; " | " &amp; B643 &amp; " | " &amp; C643</f>
        <v>0</v>
      </c>
      <c r="G643" s="2" t="s">
        <v>1450</v>
      </c>
      <c r="I643" s="2" t="s">
        <v>53</v>
      </c>
    </row>
    <row r="644" spans="1:9">
      <c r="A644" s="2" t="s">
        <v>1441</v>
      </c>
      <c r="B644" s="2" t="s">
        <v>1451</v>
      </c>
      <c r="C644" s="2" t="s">
        <v>1452</v>
      </c>
      <c r="D644" s="2" t="s">
        <v>73</v>
      </c>
      <c r="E644" s="2">
        <f>SUMIF('03_LOTES'!B:B, F644, '03_LOTES'!E:E)</f>
        <v>0</v>
      </c>
      <c r="F644" s="2">
        <f>A644 &amp; " | " &amp; B644 &amp; " | " &amp; C644</f>
        <v>0</v>
      </c>
      <c r="G644" s="2" t="s">
        <v>1453</v>
      </c>
      <c r="I644" s="2" t="s">
        <v>53</v>
      </c>
    </row>
    <row r="645" spans="1:9">
      <c r="A645" s="2" t="s">
        <v>1454</v>
      </c>
      <c r="B645" s="2" t="s">
        <v>1455</v>
      </c>
      <c r="C645" s="2" t="s">
        <v>161</v>
      </c>
      <c r="D645" s="2" t="s">
        <v>73</v>
      </c>
      <c r="E645" s="2">
        <f>SUMIF('03_LOTES'!B:B, F645, '03_LOTES'!E:E)</f>
        <v>0</v>
      </c>
      <c r="F645" s="2">
        <f>A645 &amp; " | " &amp; B645 &amp; " | " &amp; C645</f>
        <v>0</v>
      </c>
      <c r="G645" s="2" t="s">
        <v>1456</v>
      </c>
      <c r="I645" s="2" t="s">
        <v>53</v>
      </c>
    </row>
    <row r="646" spans="1:9">
      <c r="A646" s="2" t="s">
        <v>1457</v>
      </c>
      <c r="B646" s="2" t="s">
        <v>1458</v>
      </c>
      <c r="C646" s="2" t="s">
        <v>161</v>
      </c>
      <c r="D646" s="2" t="s">
        <v>73</v>
      </c>
      <c r="E646" s="2">
        <f>SUMIF('03_LOTES'!B:B, F646, '03_LOTES'!E:E)</f>
        <v>0</v>
      </c>
      <c r="F646" s="2">
        <f>A646 &amp; " | " &amp; B646 &amp; " | " &amp; C646</f>
        <v>0</v>
      </c>
      <c r="G646" s="2" t="s">
        <v>1459</v>
      </c>
      <c r="I646" s="2" t="s">
        <v>53</v>
      </c>
    </row>
    <row r="647" spans="1:9">
      <c r="A647" s="2" t="s">
        <v>1457</v>
      </c>
      <c r="B647" s="2" t="s">
        <v>1460</v>
      </c>
      <c r="C647" s="2" t="s">
        <v>161</v>
      </c>
      <c r="D647" s="2" t="s">
        <v>73</v>
      </c>
      <c r="E647" s="2">
        <f>SUMIF('03_LOTES'!B:B, F647, '03_LOTES'!E:E)</f>
        <v>0</v>
      </c>
      <c r="F647" s="2">
        <f>A647 &amp; " | " &amp; B647 &amp; " | " &amp; C647</f>
        <v>0</v>
      </c>
      <c r="G647" s="2" t="s">
        <v>1461</v>
      </c>
      <c r="I647" s="2" t="s">
        <v>53</v>
      </c>
    </row>
    <row r="648" spans="1:9">
      <c r="A648" s="2" t="s">
        <v>1457</v>
      </c>
      <c r="B648" s="2" t="s">
        <v>1462</v>
      </c>
      <c r="C648" s="2" t="s">
        <v>161</v>
      </c>
      <c r="D648" s="2" t="s">
        <v>73</v>
      </c>
      <c r="E648" s="2">
        <f>SUMIF('03_LOTES'!B:B, F648, '03_LOTES'!E:E)</f>
        <v>0</v>
      </c>
      <c r="F648" s="2">
        <f>A648 &amp; " | " &amp; B648 &amp; " | " &amp; C648</f>
        <v>0</v>
      </c>
      <c r="G648" s="2" t="s">
        <v>1463</v>
      </c>
      <c r="I648" s="2" t="s">
        <v>53</v>
      </c>
    </row>
    <row r="649" spans="1:9">
      <c r="A649" s="2" t="s">
        <v>1457</v>
      </c>
      <c r="B649" s="2" t="s">
        <v>1464</v>
      </c>
      <c r="C649" s="2" t="s">
        <v>161</v>
      </c>
      <c r="D649" s="2" t="s">
        <v>73</v>
      </c>
      <c r="E649" s="2">
        <f>SUMIF('03_LOTES'!B:B, F649, '03_LOTES'!E:E)</f>
        <v>0</v>
      </c>
      <c r="F649" s="2">
        <f>A649 &amp; " | " &amp; B649 &amp; " | " &amp; C649</f>
        <v>0</v>
      </c>
      <c r="G649" s="2" t="s">
        <v>1465</v>
      </c>
      <c r="I649" s="2" t="s">
        <v>53</v>
      </c>
    </row>
    <row r="650" spans="1:9">
      <c r="A650" s="2" t="s">
        <v>1457</v>
      </c>
      <c r="B650" s="2" t="s">
        <v>1466</v>
      </c>
      <c r="C650" s="2" t="s">
        <v>161</v>
      </c>
      <c r="D650" s="2" t="s">
        <v>73</v>
      </c>
      <c r="E650" s="2">
        <f>SUMIF('03_LOTES'!B:B, F650, '03_LOTES'!E:E)</f>
        <v>0</v>
      </c>
      <c r="F650" s="2">
        <f>A650 &amp; " | " &amp; B650 &amp; " | " &amp; C650</f>
        <v>0</v>
      </c>
      <c r="G650" s="2" t="s">
        <v>1467</v>
      </c>
      <c r="I650" s="2" t="s">
        <v>53</v>
      </c>
    </row>
    <row r="651" spans="1:9">
      <c r="A651" s="2" t="s">
        <v>1457</v>
      </c>
      <c r="B651" s="2" t="s">
        <v>1468</v>
      </c>
      <c r="C651" s="2" t="s">
        <v>96</v>
      </c>
      <c r="D651" s="2" t="s">
        <v>73</v>
      </c>
      <c r="E651" s="2">
        <f>SUMIF('03_LOTES'!B:B, F651, '03_LOTES'!E:E)</f>
        <v>0</v>
      </c>
      <c r="F651" s="2">
        <f>A651 &amp; " | " &amp; B651 &amp; " | " &amp; C651</f>
        <v>0</v>
      </c>
      <c r="G651" s="2" t="s">
        <v>1469</v>
      </c>
      <c r="I651" s="2" t="s">
        <v>53</v>
      </c>
    </row>
    <row r="652" spans="1:9">
      <c r="A652" s="2" t="s">
        <v>1457</v>
      </c>
      <c r="B652" s="2" t="s">
        <v>1470</v>
      </c>
      <c r="C652" s="2" t="s">
        <v>1447</v>
      </c>
      <c r="D652" s="2" t="s">
        <v>73</v>
      </c>
      <c r="E652" s="2">
        <f>SUMIF('03_LOTES'!B:B, F652, '03_LOTES'!E:E)</f>
        <v>0</v>
      </c>
      <c r="F652" s="2">
        <f>A652 &amp; " | " &amp; B652 &amp; " | " &amp; C652</f>
        <v>0</v>
      </c>
      <c r="G652" s="2" t="s">
        <v>1471</v>
      </c>
      <c r="I652" s="2" t="s">
        <v>53</v>
      </c>
    </row>
    <row r="653" spans="1:9">
      <c r="A653" s="2" t="s">
        <v>1472</v>
      </c>
      <c r="B653" s="2" t="s">
        <v>1473</v>
      </c>
      <c r="C653" s="2" t="s">
        <v>161</v>
      </c>
      <c r="D653" s="2" t="s">
        <v>73</v>
      </c>
      <c r="E653" s="2">
        <f>SUMIF('03_LOTES'!B:B, F653, '03_LOTES'!E:E)</f>
        <v>0</v>
      </c>
      <c r="F653" s="2">
        <f>A653 &amp; " | " &amp; B653 &amp; " | " &amp; C653</f>
        <v>0</v>
      </c>
      <c r="G653" s="2" t="s">
        <v>1474</v>
      </c>
      <c r="I653" s="2" t="s">
        <v>53</v>
      </c>
    </row>
    <row r="654" spans="1:9">
      <c r="A654" s="2" t="s">
        <v>1472</v>
      </c>
      <c r="B654" s="2" t="s">
        <v>1475</v>
      </c>
      <c r="C654" s="2" t="s">
        <v>161</v>
      </c>
      <c r="D654" s="2" t="s">
        <v>73</v>
      </c>
      <c r="E654" s="2">
        <f>SUMIF('03_LOTES'!B:B, F654, '03_LOTES'!E:E)</f>
        <v>0</v>
      </c>
      <c r="F654" s="2">
        <f>A654 &amp; " | " &amp; B654 &amp; " | " &amp; C654</f>
        <v>0</v>
      </c>
      <c r="G654" s="2" t="s">
        <v>1476</v>
      </c>
      <c r="I654" s="2" t="s">
        <v>53</v>
      </c>
    </row>
    <row r="655" spans="1:9">
      <c r="A655" s="2" t="s">
        <v>1477</v>
      </c>
      <c r="B655" s="2" t="s">
        <v>90</v>
      </c>
      <c r="C655" s="2" t="s">
        <v>1447</v>
      </c>
      <c r="D655" s="2" t="s">
        <v>73</v>
      </c>
      <c r="E655" s="2">
        <f>SUMIF('03_LOTES'!B:B, F655, '03_LOTES'!E:E)</f>
        <v>0</v>
      </c>
      <c r="F655" s="2">
        <f>A655 &amp; " | " &amp; B655 &amp; " | " &amp; C655</f>
        <v>0</v>
      </c>
      <c r="G655" s="2" t="s">
        <v>1478</v>
      </c>
      <c r="I655" s="2" t="s">
        <v>53</v>
      </c>
    </row>
    <row r="656" spans="1:9">
      <c r="A656" s="2" t="s">
        <v>1479</v>
      </c>
      <c r="B656" s="2" t="s">
        <v>1475</v>
      </c>
      <c r="C656" s="2" t="s">
        <v>161</v>
      </c>
      <c r="D656" s="2" t="s">
        <v>73</v>
      </c>
      <c r="E656" s="2">
        <f>SUMIF('03_LOTES'!B:B, F656, '03_LOTES'!E:E)</f>
        <v>0</v>
      </c>
      <c r="F656" s="2">
        <f>A656 &amp; " | " &amp; B656 &amp; " | " &amp; C656</f>
        <v>0</v>
      </c>
      <c r="G656" s="2" t="s">
        <v>1480</v>
      </c>
      <c r="I656" s="2" t="s">
        <v>53</v>
      </c>
    </row>
    <row r="657" spans="1:9">
      <c r="A657" s="2" t="s">
        <v>1481</v>
      </c>
      <c r="B657" s="2" t="s">
        <v>1475</v>
      </c>
      <c r="C657" s="2" t="s">
        <v>161</v>
      </c>
      <c r="D657" s="2" t="s">
        <v>73</v>
      </c>
      <c r="E657" s="2">
        <f>SUMIF('03_LOTES'!B:B, F657, '03_LOTES'!E:E)</f>
        <v>0</v>
      </c>
      <c r="F657" s="2">
        <f>A657 &amp; " | " &amp; B657 &amp; " | " &amp; C657</f>
        <v>0</v>
      </c>
      <c r="G657" s="2" t="s">
        <v>1482</v>
      </c>
      <c r="I657" s="2" t="s">
        <v>53</v>
      </c>
    </row>
    <row r="658" spans="1:9">
      <c r="A658" s="2" t="s">
        <v>1483</v>
      </c>
      <c r="B658" s="2" t="s">
        <v>1473</v>
      </c>
      <c r="C658" s="2" t="s">
        <v>161</v>
      </c>
      <c r="D658" s="2" t="s">
        <v>73</v>
      </c>
      <c r="E658" s="2">
        <f>SUMIF('03_LOTES'!B:B, F658, '03_LOTES'!E:E)</f>
        <v>0</v>
      </c>
      <c r="F658" s="2">
        <f>A658 &amp; " | " &amp; B658 &amp; " | " &amp; C658</f>
        <v>0</v>
      </c>
      <c r="G658" s="2" t="s">
        <v>1484</v>
      </c>
      <c r="I658" s="2" t="s">
        <v>53</v>
      </c>
    </row>
    <row r="659" spans="1:9">
      <c r="A659" s="2" t="s">
        <v>1483</v>
      </c>
      <c r="B659" s="2" t="s">
        <v>1475</v>
      </c>
      <c r="C659" s="2" t="s">
        <v>161</v>
      </c>
      <c r="D659" s="2" t="s">
        <v>73</v>
      </c>
      <c r="E659" s="2">
        <f>SUMIF('03_LOTES'!B:B, F659, '03_LOTES'!E:E)</f>
        <v>0</v>
      </c>
      <c r="F659" s="2">
        <f>A659 &amp; " | " &amp; B659 &amp; " | " &amp; C659</f>
        <v>0</v>
      </c>
      <c r="G659" s="2" t="s">
        <v>1485</v>
      </c>
      <c r="I659" s="2" t="s">
        <v>53</v>
      </c>
    </row>
    <row r="660" spans="1:9">
      <c r="A660" s="2" t="s">
        <v>1486</v>
      </c>
      <c r="B660" s="2" t="s">
        <v>1473</v>
      </c>
      <c r="C660" s="2" t="s">
        <v>161</v>
      </c>
      <c r="D660" s="2" t="s">
        <v>73</v>
      </c>
      <c r="E660" s="2">
        <f>SUMIF('03_LOTES'!B:B, F660, '03_LOTES'!E:E)</f>
        <v>0</v>
      </c>
      <c r="F660" s="2">
        <f>A660 &amp; " | " &amp; B660 &amp; " | " &amp; C660</f>
        <v>0</v>
      </c>
      <c r="G660" s="2" t="s">
        <v>1487</v>
      </c>
      <c r="I660" s="2" t="s">
        <v>53</v>
      </c>
    </row>
    <row r="661" spans="1:9">
      <c r="A661" s="2" t="s">
        <v>1486</v>
      </c>
      <c r="B661" s="2" t="s">
        <v>1475</v>
      </c>
      <c r="C661" s="2" t="s">
        <v>161</v>
      </c>
      <c r="D661" s="2" t="s">
        <v>73</v>
      </c>
      <c r="E661" s="2">
        <f>SUMIF('03_LOTES'!B:B, F661, '03_LOTES'!E:E)</f>
        <v>0</v>
      </c>
      <c r="F661" s="2">
        <f>A661 &amp; " | " &amp; B661 &amp; " | " &amp; C661</f>
        <v>0</v>
      </c>
      <c r="G661" s="2" t="s">
        <v>1488</v>
      </c>
      <c r="I661" s="2" t="s">
        <v>53</v>
      </c>
    </row>
    <row r="662" spans="1:9">
      <c r="A662" s="2" t="s">
        <v>1489</v>
      </c>
      <c r="B662" s="2" t="s">
        <v>1490</v>
      </c>
      <c r="C662" s="2" t="s">
        <v>96</v>
      </c>
      <c r="D662" s="2" t="s">
        <v>73</v>
      </c>
      <c r="E662" s="2">
        <f>SUMIF('03_LOTES'!B:B, F662, '03_LOTES'!E:E)</f>
        <v>0</v>
      </c>
      <c r="F662" s="2">
        <f>A662 &amp; " | " &amp; B662 &amp; " | " &amp; C662</f>
        <v>0</v>
      </c>
      <c r="G662" s="2" t="s">
        <v>1491</v>
      </c>
      <c r="I662" s="2" t="s">
        <v>53</v>
      </c>
    </row>
    <row r="663" spans="1:9">
      <c r="A663" s="2" t="s">
        <v>1492</v>
      </c>
      <c r="B663" s="2" t="s">
        <v>1493</v>
      </c>
      <c r="C663" s="2" t="s">
        <v>105</v>
      </c>
      <c r="D663" s="2" t="s">
        <v>70</v>
      </c>
      <c r="E663" s="2">
        <f>SUMIF('03_LOTES'!B:B, F663, '03_LOTES'!E:E)</f>
        <v>0</v>
      </c>
      <c r="F663" s="2">
        <f>A663 &amp; " | " &amp; B663 &amp; " | " &amp; C663</f>
        <v>0</v>
      </c>
      <c r="G663" s="2" t="s">
        <v>1494</v>
      </c>
      <c r="I663" s="2" t="s">
        <v>53</v>
      </c>
    </row>
    <row r="664" spans="1:9">
      <c r="A664" s="2" t="s">
        <v>1495</v>
      </c>
      <c r="B664" s="2" t="s">
        <v>90</v>
      </c>
      <c r="C664" s="2" t="s">
        <v>96</v>
      </c>
      <c r="D664" s="2" t="s">
        <v>73</v>
      </c>
      <c r="E664" s="2">
        <f>SUMIF('03_LOTES'!B:B, F664, '03_LOTES'!E:E)</f>
        <v>0</v>
      </c>
      <c r="F664" s="2">
        <f>A664 &amp; " | " &amp; B664 &amp; " | " &amp; C664</f>
        <v>0</v>
      </c>
      <c r="G664" s="2" t="s">
        <v>1496</v>
      </c>
      <c r="I664" s="2" t="s">
        <v>53</v>
      </c>
    </row>
    <row r="665" spans="1:9">
      <c r="A665" s="2" t="s">
        <v>1497</v>
      </c>
      <c r="B665" s="2" t="s">
        <v>90</v>
      </c>
      <c r="C665" s="2" t="s">
        <v>96</v>
      </c>
      <c r="D665" s="2" t="s">
        <v>73</v>
      </c>
      <c r="E665" s="2">
        <f>SUMIF('03_LOTES'!B:B, F665, '03_LOTES'!E:E)</f>
        <v>0</v>
      </c>
      <c r="F665" s="2">
        <f>A665 &amp; " | " &amp; B665 &amp; " | " &amp; C665</f>
        <v>0</v>
      </c>
      <c r="G665" s="2" t="s">
        <v>1498</v>
      </c>
      <c r="I665" s="2" t="s">
        <v>53</v>
      </c>
    </row>
    <row r="666" spans="1:9">
      <c r="A666" s="2" t="s">
        <v>1499</v>
      </c>
      <c r="B666" s="2" t="s">
        <v>90</v>
      </c>
      <c r="C666" s="2" t="s">
        <v>96</v>
      </c>
      <c r="D666" s="2" t="s">
        <v>73</v>
      </c>
      <c r="E666" s="2">
        <f>SUMIF('03_LOTES'!B:B, F666, '03_LOTES'!E:E)</f>
        <v>0</v>
      </c>
      <c r="F666" s="2">
        <f>A666 &amp; " | " &amp; B666 &amp; " | " &amp; C666</f>
        <v>0</v>
      </c>
      <c r="G666" s="2" t="s">
        <v>1500</v>
      </c>
      <c r="I666" s="2" t="s">
        <v>53</v>
      </c>
    </row>
    <row r="667" spans="1:9">
      <c r="A667" s="2" t="s">
        <v>1501</v>
      </c>
      <c r="B667" s="2" t="s">
        <v>90</v>
      </c>
      <c r="C667" s="2" t="s">
        <v>96</v>
      </c>
      <c r="D667" s="2" t="s">
        <v>73</v>
      </c>
      <c r="E667" s="2">
        <f>SUMIF('03_LOTES'!B:B, F667, '03_LOTES'!E:E)</f>
        <v>0</v>
      </c>
      <c r="F667" s="2">
        <f>A667 &amp; " | " &amp; B667 &amp; " | " &amp; C667</f>
        <v>0</v>
      </c>
      <c r="G667" s="2" t="s">
        <v>1502</v>
      </c>
      <c r="I667" s="2" t="s">
        <v>53</v>
      </c>
    </row>
    <row r="668" spans="1:9">
      <c r="A668" s="2" t="s">
        <v>1503</v>
      </c>
      <c r="B668" s="2" t="s">
        <v>90</v>
      </c>
      <c r="C668" s="2" t="s">
        <v>96</v>
      </c>
      <c r="D668" s="2" t="s">
        <v>73</v>
      </c>
      <c r="E668" s="2">
        <f>SUMIF('03_LOTES'!B:B, F668, '03_LOTES'!E:E)</f>
        <v>0</v>
      </c>
      <c r="F668" s="2">
        <f>A668 &amp; " | " &amp; B668 &amp; " | " &amp; C668</f>
        <v>0</v>
      </c>
      <c r="G668" s="2" t="s">
        <v>1504</v>
      </c>
      <c r="I668" s="2" t="s">
        <v>53</v>
      </c>
    </row>
    <row r="669" spans="1:9">
      <c r="A669" s="2" t="s">
        <v>1505</v>
      </c>
      <c r="B669" s="2" t="s">
        <v>237</v>
      </c>
      <c r="C669" s="2" t="s">
        <v>249</v>
      </c>
      <c r="D669" s="2" t="s">
        <v>73</v>
      </c>
      <c r="E669" s="2">
        <f>SUMIF('03_LOTES'!B:B, F669, '03_LOTES'!E:E)</f>
        <v>0</v>
      </c>
      <c r="F669" s="2">
        <f>A669 &amp; " | " &amp; B669 &amp; " | " &amp; C669</f>
        <v>0</v>
      </c>
      <c r="G669" s="2" t="s">
        <v>1506</v>
      </c>
      <c r="I669" s="2" t="s">
        <v>53</v>
      </c>
    </row>
    <row r="670" spans="1:9">
      <c r="A670" s="2" t="s">
        <v>1507</v>
      </c>
      <c r="B670" s="2" t="s">
        <v>1508</v>
      </c>
      <c r="C670" s="2" t="s">
        <v>77</v>
      </c>
      <c r="D670" s="2" t="s">
        <v>55</v>
      </c>
      <c r="E670" s="2">
        <f>SUMIF('03_LOTES'!B:B, F670, '03_LOTES'!E:E)</f>
        <v>0</v>
      </c>
      <c r="F670" s="2">
        <f>A670 &amp; " | " &amp; B670 &amp; " | " &amp; C670</f>
        <v>0</v>
      </c>
      <c r="G670" s="2" t="s">
        <v>1509</v>
      </c>
      <c r="I670" s="2" t="s">
        <v>53</v>
      </c>
    </row>
    <row r="671" spans="1:9">
      <c r="A671" s="2" t="s">
        <v>1510</v>
      </c>
      <c r="B671" s="2" t="s">
        <v>1511</v>
      </c>
      <c r="C671" s="2" t="s">
        <v>1512</v>
      </c>
      <c r="D671" s="2" t="s">
        <v>73</v>
      </c>
      <c r="E671" s="2">
        <f>SUMIF('03_LOTES'!B:B, F671, '03_LOTES'!E:E)</f>
        <v>0</v>
      </c>
      <c r="F671" s="2">
        <f>A671 &amp; " | " &amp; B671 &amp; " | " &amp; C671</f>
        <v>0</v>
      </c>
      <c r="G671" s="2" t="s">
        <v>1513</v>
      </c>
      <c r="I671" s="2" t="s">
        <v>53</v>
      </c>
    </row>
    <row r="672" spans="1:9">
      <c r="A672" s="2" t="s">
        <v>1514</v>
      </c>
      <c r="B672" s="2" t="s">
        <v>90</v>
      </c>
      <c r="C672" s="2" t="s">
        <v>105</v>
      </c>
      <c r="D672" s="2" t="s">
        <v>73</v>
      </c>
      <c r="E672" s="2">
        <f>SUMIF('03_LOTES'!B:B, F672, '03_LOTES'!E:E)</f>
        <v>0</v>
      </c>
      <c r="F672" s="2">
        <f>A672 &amp; " | " &amp; B672 &amp; " | " &amp; C672</f>
        <v>0</v>
      </c>
      <c r="G672" s="2" t="s">
        <v>1515</v>
      </c>
      <c r="I672" s="2" t="s">
        <v>53</v>
      </c>
    </row>
    <row r="673" spans="1:9">
      <c r="A673" s="2" t="s">
        <v>1514</v>
      </c>
      <c r="B673" s="2" t="s">
        <v>90</v>
      </c>
      <c r="C673" s="2" t="s">
        <v>1516</v>
      </c>
      <c r="D673" s="2" t="s">
        <v>73</v>
      </c>
      <c r="E673" s="2">
        <f>SUMIF('03_LOTES'!B:B, F673, '03_LOTES'!E:E)</f>
        <v>0</v>
      </c>
      <c r="F673" s="2">
        <f>A673 &amp; " | " &amp; B673 &amp; " | " &amp; C673</f>
        <v>0</v>
      </c>
      <c r="G673" s="2" t="s">
        <v>1517</v>
      </c>
      <c r="I673" s="2" t="s">
        <v>53</v>
      </c>
    </row>
    <row r="674" spans="1:9">
      <c r="A674" s="2" t="s">
        <v>1518</v>
      </c>
      <c r="B674" s="2" t="s">
        <v>95</v>
      </c>
      <c r="C674" s="2" t="s">
        <v>96</v>
      </c>
      <c r="D674" s="2" t="s">
        <v>73</v>
      </c>
      <c r="E674" s="2">
        <f>SUMIF('03_LOTES'!B:B, F674, '03_LOTES'!E:E)</f>
        <v>0</v>
      </c>
      <c r="F674" s="2">
        <f>A674 &amp; " | " &amp; B674 &amp; " | " &amp; C674</f>
        <v>0</v>
      </c>
      <c r="G674" s="2" t="s">
        <v>1519</v>
      </c>
      <c r="I674" s="2" t="s">
        <v>53</v>
      </c>
    </row>
    <row r="675" spans="1:9">
      <c r="A675" s="2" t="s">
        <v>1520</v>
      </c>
      <c r="B675" s="2" t="s">
        <v>107</v>
      </c>
      <c r="C675" s="2" t="s">
        <v>77</v>
      </c>
      <c r="D675" s="2" t="s">
        <v>67</v>
      </c>
      <c r="E675" s="2">
        <f>SUMIF('03_LOTES'!B:B, F675, '03_LOTES'!E:E)</f>
        <v>0</v>
      </c>
      <c r="F675" s="2">
        <f>A675 &amp; " | " &amp; B675 &amp; " | " &amp; C675</f>
        <v>0</v>
      </c>
      <c r="G675" s="2" t="s">
        <v>1521</v>
      </c>
      <c r="I675" s="2" t="s">
        <v>53</v>
      </c>
    </row>
    <row r="676" spans="1:9">
      <c r="A676" s="2" t="s">
        <v>1520</v>
      </c>
      <c r="B676" s="2" t="s">
        <v>1522</v>
      </c>
      <c r="C676" s="2" t="s">
        <v>409</v>
      </c>
      <c r="D676" s="2" t="s">
        <v>67</v>
      </c>
      <c r="E676" s="2">
        <f>SUMIF('03_LOTES'!B:B, F676, '03_LOTES'!E:E)</f>
        <v>0</v>
      </c>
      <c r="F676" s="2">
        <f>A676 &amp; " | " &amp; B676 &amp; " | " &amp; C676</f>
        <v>0</v>
      </c>
      <c r="G676" s="2" t="s">
        <v>1523</v>
      </c>
      <c r="I676" s="2" t="s">
        <v>53</v>
      </c>
    </row>
    <row r="677" spans="1:9">
      <c r="A677" s="2" t="s">
        <v>1524</v>
      </c>
      <c r="B677" s="2" t="s">
        <v>1525</v>
      </c>
      <c r="C677" s="2" t="s">
        <v>77</v>
      </c>
      <c r="D677" s="2" t="s">
        <v>67</v>
      </c>
      <c r="E677" s="2">
        <f>SUMIF('03_LOTES'!B:B, F677, '03_LOTES'!E:E)</f>
        <v>0</v>
      </c>
      <c r="F677" s="2">
        <f>A677 &amp; " | " &amp; B677 &amp; " | " &amp; C677</f>
        <v>0</v>
      </c>
      <c r="G677" s="2" t="s">
        <v>1526</v>
      </c>
      <c r="I677" s="2" t="s">
        <v>53</v>
      </c>
    </row>
    <row r="678" spans="1:9">
      <c r="A678" s="2" t="s">
        <v>1524</v>
      </c>
      <c r="B678" s="2" t="s">
        <v>1527</v>
      </c>
      <c r="C678" s="2" t="s">
        <v>409</v>
      </c>
      <c r="D678" s="2" t="s">
        <v>67</v>
      </c>
      <c r="E678" s="2">
        <f>SUMIF('03_LOTES'!B:B, F678, '03_LOTES'!E:E)</f>
        <v>0</v>
      </c>
      <c r="F678" s="2">
        <f>A678 &amp; " | " &amp; B678 &amp; " | " &amp; C678</f>
        <v>0</v>
      </c>
      <c r="G678" s="2" t="s">
        <v>1528</v>
      </c>
      <c r="I678" s="2" t="s">
        <v>53</v>
      </c>
    </row>
    <row r="679" spans="1:9">
      <c r="A679" s="2" t="s">
        <v>1529</v>
      </c>
      <c r="B679" s="2" t="s">
        <v>1530</v>
      </c>
      <c r="C679" s="2" t="s">
        <v>96</v>
      </c>
      <c r="D679" s="2" t="s">
        <v>73</v>
      </c>
      <c r="E679" s="2">
        <f>SUMIF('03_LOTES'!B:B, F679, '03_LOTES'!E:E)</f>
        <v>0</v>
      </c>
      <c r="F679" s="2">
        <f>A679 &amp; " | " &amp; B679 &amp; " | " &amp; C679</f>
        <v>0</v>
      </c>
      <c r="G679" s="2" t="s">
        <v>1531</v>
      </c>
      <c r="I679" s="2" t="s">
        <v>53</v>
      </c>
    </row>
    <row r="680" spans="1:9">
      <c r="A680" s="2" t="s">
        <v>1532</v>
      </c>
      <c r="B680" s="2" t="s">
        <v>112</v>
      </c>
      <c r="C680" s="2" t="s">
        <v>96</v>
      </c>
      <c r="D680" s="2" t="s">
        <v>73</v>
      </c>
      <c r="E680" s="2">
        <f>SUMIF('03_LOTES'!B:B, F680, '03_LOTES'!E:E)</f>
        <v>0</v>
      </c>
      <c r="F680" s="2">
        <f>A680 &amp; " | " &amp; B680 &amp; " | " &amp; C680</f>
        <v>0</v>
      </c>
      <c r="G680" s="2" t="s">
        <v>1533</v>
      </c>
      <c r="I680" s="2" t="s">
        <v>53</v>
      </c>
    </row>
    <row r="681" spans="1:9">
      <c r="A681" s="2" t="s">
        <v>1534</v>
      </c>
      <c r="B681" s="2" t="s">
        <v>192</v>
      </c>
      <c r="C681" s="2" t="s">
        <v>83</v>
      </c>
      <c r="D681" s="2" t="s">
        <v>73</v>
      </c>
      <c r="E681" s="2">
        <f>SUMIF('03_LOTES'!B:B, F681, '03_LOTES'!E:E)</f>
        <v>0</v>
      </c>
      <c r="F681" s="2">
        <f>A681 &amp; " | " &amp; B681 &amp; " | " &amp; C681</f>
        <v>0</v>
      </c>
      <c r="G681" s="2" t="s">
        <v>1535</v>
      </c>
      <c r="I681" s="2" t="s">
        <v>53</v>
      </c>
    </row>
    <row r="682" spans="1:9">
      <c r="A682" s="2" t="s">
        <v>1536</v>
      </c>
      <c r="B682" s="2" t="s">
        <v>225</v>
      </c>
      <c r="C682" s="2" t="s">
        <v>77</v>
      </c>
      <c r="D682" s="2" t="s">
        <v>73</v>
      </c>
      <c r="E682" s="2">
        <f>SUMIF('03_LOTES'!B:B, F682, '03_LOTES'!E:E)</f>
        <v>0</v>
      </c>
      <c r="F682" s="2">
        <f>A682 &amp; " | " &amp; B682 &amp; " | " &amp; C682</f>
        <v>0</v>
      </c>
      <c r="G682" s="2" t="s">
        <v>1537</v>
      </c>
      <c r="I682" s="2" t="s">
        <v>53</v>
      </c>
    </row>
    <row r="683" spans="1:9">
      <c r="A683" s="2" t="s">
        <v>1538</v>
      </c>
      <c r="B683" s="2" t="s">
        <v>229</v>
      </c>
      <c r="C683" s="2" t="s">
        <v>77</v>
      </c>
      <c r="D683" s="2" t="s">
        <v>55</v>
      </c>
      <c r="E683" s="2">
        <f>SUMIF('03_LOTES'!B:B, F683, '03_LOTES'!E:E)</f>
        <v>0</v>
      </c>
      <c r="F683" s="2">
        <f>A683 &amp; " | " &amp; B683 &amp; " | " &amp; C683</f>
        <v>0</v>
      </c>
      <c r="G683" s="2" t="s">
        <v>1539</v>
      </c>
      <c r="I683" s="2" t="s">
        <v>53</v>
      </c>
    </row>
    <row r="684" spans="1:9">
      <c r="A684" s="2" t="s">
        <v>1540</v>
      </c>
      <c r="B684" s="2" t="s">
        <v>229</v>
      </c>
      <c r="C684" s="2" t="s">
        <v>83</v>
      </c>
      <c r="D684" s="2" t="s">
        <v>73</v>
      </c>
      <c r="E684" s="2">
        <f>SUMIF('03_LOTES'!B:B, F684, '03_LOTES'!E:E)</f>
        <v>0</v>
      </c>
      <c r="F684" s="2">
        <f>A684 &amp; " | " &amp; B684 &amp; " | " &amp; C684</f>
        <v>0</v>
      </c>
      <c r="G684" s="2" t="s">
        <v>1541</v>
      </c>
      <c r="I684" s="2" t="s">
        <v>53</v>
      </c>
    </row>
    <row r="685" spans="1:9">
      <c r="A685" s="2" t="s">
        <v>1540</v>
      </c>
      <c r="B685" s="2" t="s">
        <v>225</v>
      </c>
      <c r="C685" s="2" t="s">
        <v>83</v>
      </c>
      <c r="D685" s="2" t="s">
        <v>73</v>
      </c>
      <c r="E685" s="2">
        <f>SUMIF('03_LOTES'!B:B, F685, '03_LOTES'!E:E)</f>
        <v>0</v>
      </c>
      <c r="F685" s="2">
        <f>A685 &amp; " | " &amp; B685 &amp; " | " &amp; C685</f>
        <v>0</v>
      </c>
      <c r="G685" s="2" t="s">
        <v>1542</v>
      </c>
      <c r="I685" s="2" t="s">
        <v>53</v>
      </c>
    </row>
    <row r="686" spans="1:9">
      <c r="A686" s="2" t="s">
        <v>1540</v>
      </c>
      <c r="B686" s="2" t="s">
        <v>80</v>
      </c>
      <c r="C686" s="2" t="s">
        <v>83</v>
      </c>
      <c r="D686" s="2" t="s">
        <v>73</v>
      </c>
      <c r="E686" s="2">
        <f>SUMIF('03_LOTES'!B:B, F686, '03_LOTES'!E:E)</f>
        <v>0</v>
      </c>
      <c r="F686" s="2">
        <f>A686 &amp; " | " &amp; B686 &amp; " | " &amp; C686</f>
        <v>0</v>
      </c>
      <c r="G686" s="2" t="s">
        <v>1543</v>
      </c>
      <c r="I686" s="2" t="s">
        <v>53</v>
      </c>
    </row>
    <row r="687" spans="1:9">
      <c r="A687" s="2" t="s">
        <v>1544</v>
      </c>
      <c r="B687" s="2" t="s">
        <v>151</v>
      </c>
      <c r="C687" s="2" t="s">
        <v>252</v>
      </c>
      <c r="D687" s="2" t="s">
        <v>73</v>
      </c>
      <c r="E687" s="2">
        <f>SUMIF('03_LOTES'!B:B, F687, '03_LOTES'!E:E)</f>
        <v>0</v>
      </c>
      <c r="F687" s="2">
        <f>A687 &amp; " | " &amp; B687 &amp; " | " &amp; C687</f>
        <v>0</v>
      </c>
      <c r="G687" s="2" t="s">
        <v>1545</v>
      </c>
      <c r="I687" s="2" t="s">
        <v>53</v>
      </c>
    </row>
    <row r="688" spans="1:9">
      <c r="A688" s="2" t="s">
        <v>1546</v>
      </c>
      <c r="B688" s="2" t="s">
        <v>1547</v>
      </c>
      <c r="C688" s="2" t="s">
        <v>77</v>
      </c>
      <c r="D688" s="2" t="s">
        <v>73</v>
      </c>
      <c r="E688" s="2">
        <f>SUMIF('03_LOTES'!B:B, F688, '03_LOTES'!E:E)</f>
        <v>0</v>
      </c>
      <c r="F688" s="2">
        <f>A688 &amp; " | " &amp; B688 &amp; " | " &amp; C688</f>
        <v>0</v>
      </c>
      <c r="G688" s="2" t="s">
        <v>1548</v>
      </c>
      <c r="I688" s="2" t="s">
        <v>53</v>
      </c>
    </row>
    <row r="689" spans="1:9">
      <c r="A689" s="2" t="s">
        <v>1549</v>
      </c>
      <c r="B689" s="2" t="s">
        <v>1550</v>
      </c>
      <c r="C689" s="2" t="s">
        <v>77</v>
      </c>
      <c r="D689" s="2" t="s">
        <v>73</v>
      </c>
      <c r="E689" s="2">
        <f>SUMIF('03_LOTES'!B:B, F689, '03_LOTES'!E:E)</f>
        <v>0</v>
      </c>
      <c r="F689" s="2">
        <f>A689 &amp; " | " &amp; B689 &amp; " | " &amp; C689</f>
        <v>0</v>
      </c>
      <c r="G689" s="2" t="s">
        <v>1551</v>
      </c>
      <c r="I689" s="2" t="s">
        <v>53</v>
      </c>
    </row>
    <row r="690" spans="1:9">
      <c r="A690" s="2" t="s">
        <v>1552</v>
      </c>
      <c r="B690" s="2" t="s">
        <v>76</v>
      </c>
      <c r="C690" s="2" t="s">
        <v>77</v>
      </c>
      <c r="D690" s="2" t="s">
        <v>73</v>
      </c>
      <c r="E690" s="2">
        <f>SUMIF('03_LOTES'!B:B, F690, '03_LOTES'!E:E)</f>
        <v>0</v>
      </c>
      <c r="F690" s="2">
        <f>A690 &amp; " | " &amp; B690 &amp; " | " &amp; C690</f>
        <v>0</v>
      </c>
      <c r="G690" s="2" t="s">
        <v>1553</v>
      </c>
      <c r="I690" s="2" t="s">
        <v>53</v>
      </c>
    </row>
    <row r="691" spans="1:9">
      <c r="A691" s="2" t="s">
        <v>1554</v>
      </c>
      <c r="B691" s="2" t="s">
        <v>80</v>
      </c>
      <c r="C691" s="2" t="s">
        <v>77</v>
      </c>
      <c r="D691" s="2" t="s">
        <v>64</v>
      </c>
      <c r="E691" s="2">
        <f>SUMIF('03_LOTES'!B:B, F691, '03_LOTES'!E:E)</f>
        <v>0</v>
      </c>
      <c r="F691" s="2">
        <f>A691 &amp; " | " &amp; B691 &amp; " | " &amp; C691</f>
        <v>0</v>
      </c>
      <c r="G691" s="2" t="s">
        <v>1555</v>
      </c>
      <c r="I691" s="2" t="s">
        <v>53</v>
      </c>
    </row>
    <row r="692" spans="1:9">
      <c r="A692" s="2" t="s">
        <v>1556</v>
      </c>
      <c r="B692" s="2" t="s">
        <v>192</v>
      </c>
      <c r="C692" s="2" t="s">
        <v>96</v>
      </c>
      <c r="D692" s="2" t="s">
        <v>73</v>
      </c>
      <c r="E692" s="2">
        <f>SUMIF('03_LOTES'!B:B, F692, '03_LOTES'!E:E)</f>
        <v>0</v>
      </c>
      <c r="F692" s="2">
        <f>A692 &amp; " | " &amp; B692 &amp; " | " &amp; C692</f>
        <v>0</v>
      </c>
      <c r="G692" s="2" t="s">
        <v>1557</v>
      </c>
      <c r="I692" s="2" t="s">
        <v>53</v>
      </c>
    </row>
    <row r="693" spans="1:9">
      <c r="A693" s="2" t="s">
        <v>1558</v>
      </c>
      <c r="B693" s="2" t="s">
        <v>1559</v>
      </c>
      <c r="C693" s="2" t="s">
        <v>96</v>
      </c>
      <c r="D693" s="2" t="s">
        <v>73</v>
      </c>
      <c r="E693" s="2">
        <f>SUMIF('03_LOTES'!B:B, F693, '03_LOTES'!E:E)</f>
        <v>0</v>
      </c>
      <c r="F693" s="2">
        <f>A693 &amp; " | " &amp; B693 &amp; " | " &amp; C693</f>
        <v>0</v>
      </c>
      <c r="G693" s="2" t="s">
        <v>1560</v>
      </c>
      <c r="I693" s="2" t="s">
        <v>53</v>
      </c>
    </row>
    <row r="694" spans="1:9">
      <c r="A694" s="2" t="s">
        <v>1561</v>
      </c>
      <c r="B694" s="2" t="s">
        <v>112</v>
      </c>
      <c r="C694" s="2" t="s">
        <v>219</v>
      </c>
      <c r="D694" s="2" t="s">
        <v>55</v>
      </c>
      <c r="E694" s="2">
        <f>SUMIF('03_LOTES'!B:B, F694, '03_LOTES'!E:E)</f>
        <v>0</v>
      </c>
      <c r="F694" s="2">
        <f>A694 &amp; " | " &amp; B694 &amp; " | " &amp; C694</f>
        <v>0</v>
      </c>
      <c r="G694" s="2" t="s">
        <v>1562</v>
      </c>
      <c r="I694" s="2" t="s">
        <v>53</v>
      </c>
    </row>
    <row r="695" spans="1:9">
      <c r="A695" s="2" t="s">
        <v>1563</v>
      </c>
      <c r="B695" s="2" t="s">
        <v>99</v>
      </c>
      <c r="C695" s="2" t="s">
        <v>249</v>
      </c>
      <c r="D695" s="2" t="s">
        <v>73</v>
      </c>
      <c r="E695" s="2">
        <f>SUMIF('03_LOTES'!B:B, F695, '03_LOTES'!E:E)</f>
        <v>0</v>
      </c>
      <c r="F695" s="2">
        <f>A695 &amp; " | " &amp; B695 &amp; " | " &amp; C695</f>
        <v>0</v>
      </c>
      <c r="G695" s="2" t="s">
        <v>1564</v>
      </c>
      <c r="I695" s="2" t="s">
        <v>53</v>
      </c>
    </row>
    <row r="696" spans="1:9">
      <c r="A696" s="2" t="s">
        <v>1563</v>
      </c>
      <c r="B696" s="2" t="s">
        <v>112</v>
      </c>
      <c r="C696" s="2" t="s">
        <v>77</v>
      </c>
      <c r="D696" s="2" t="s">
        <v>73</v>
      </c>
      <c r="E696" s="2">
        <f>SUMIF('03_LOTES'!B:B, F696, '03_LOTES'!E:E)</f>
        <v>0</v>
      </c>
      <c r="F696" s="2">
        <f>A696 &amp; " | " &amp; B696 &amp; " | " &amp; C696</f>
        <v>0</v>
      </c>
      <c r="G696" s="2" t="s">
        <v>1565</v>
      </c>
      <c r="I696" s="2" t="s">
        <v>53</v>
      </c>
    </row>
    <row r="697" spans="1:9">
      <c r="A697" s="2" t="s">
        <v>1563</v>
      </c>
      <c r="B697" s="2" t="s">
        <v>178</v>
      </c>
      <c r="C697" s="2" t="s">
        <v>105</v>
      </c>
      <c r="D697" s="2" t="s">
        <v>73</v>
      </c>
      <c r="E697" s="2">
        <f>SUMIF('03_LOTES'!B:B, F697, '03_LOTES'!E:E)</f>
        <v>0</v>
      </c>
      <c r="F697" s="2">
        <f>A697 &amp; " | " &amp; B697 &amp; " | " &amp; C697</f>
        <v>0</v>
      </c>
      <c r="G697" s="2" t="s">
        <v>1566</v>
      </c>
      <c r="I697" s="2" t="s">
        <v>53</v>
      </c>
    </row>
    <row r="698" spans="1:9">
      <c r="A698" s="2" t="s">
        <v>1567</v>
      </c>
      <c r="B698" s="2" t="s">
        <v>229</v>
      </c>
      <c r="C698" s="2" t="s">
        <v>77</v>
      </c>
      <c r="D698" s="2" t="s">
        <v>73</v>
      </c>
      <c r="E698" s="2">
        <f>SUMIF('03_LOTES'!B:B, F698, '03_LOTES'!E:E)</f>
        <v>0</v>
      </c>
      <c r="F698" s="2">
        <f>A698 &amp; " | " &amp; B698 &amp; " | " &amp; C698</f>
        <v>0</v>
      </c>
      <c r="G698" s="2" t="s">
        <v>1568</v>
      </c>
      <c r="I698" s="2" t="s">
        <v>53</v>
      </c>
    </row>
    <row r="699" spans="1:9">
      <c r="A699" s="2" t="s">
        <v>1569</v>
      </c>
      <c r="B699" s="2" t="s">
        <v>76</v>
      </c>
      <c r="C699" s="2" t="s">
        <v>77</v>
      </c>
      <c r="D699" s="2" t="s">
        <v>67</v>
      </c>
      <c r="E699" s="2">
        <f>SUMIF('03_LOTES'!B:B, F699, '03_LOTES'!E:E)</f>
        <v>0</v>
      </c>
      <c r="F699" s="2">
        <f>A699 &amp; " | " &amp; B699 &amp; " | " &amp; C699</f>
        <v>0</v>
      </c>
      <c r="G699" s="2" t="s">
        <v>1570</v>
      </c>
      <c r="I699" s="2" t="s">
        <v>53</v>
      </c>
    </row>
    <row r="700" spans="1:9">
      <c r="A700" s="2" t="s">
        <v>1569</v>
      </c>
      <c r="B700" s="2" t="s">
        <v>408</v>
      </c>
      <c r="C700" s="2" t="s">
        <v>96</v>
      </c>
      <c r="D700" s="2" t="s">
        <v>67</v>
      </c>
      <c r="E700" s="2">
        <f>SUMIF('03_LOTES'!B:B, F700, '03_LOTES'!E:E)</f>
        <v>0</v>
      </c>
      <c r="F700" s="2">
        <f>A700 &amp; " | " &amp; B700 &amp; " | " &amp; C700</f>
        <v>0</v>
      </c>
      <c r="G700" s="2" t="s">
        <v>1571</v>
      </c>
      <c r="I700" s="2" t="s">
        <v>53</v>
      </c>
    </row>
    <row r="701" spans="1:9">
      <c r="A701" s="2" t="s">
        <v>1572</v>
      </c>
      <c r="B701" s="2" t="s">
        <v>327</v>
      </c>
      <c r="C701" s="2" t="s">
        <v>238</v>
      </c>
      <c r="D701" s="2" t="s">
        <v>73</v>
      </c>
      <c r="E701" s="2">
        <f>SUMIF('03_LOTES'!B:B, F701, '03_LOTES'!E:E)</f>
        <v>0</v>
      </c>
      <c r="F701" s="2">
        <f>A701 &amp; " | " &amp; B701 &amp; " | " &amp; C701</f>
        <v>0</v>
      </c>
      <c r="G701" s="2" t="s">
        <v>1573</v>
      </c>
      <c r="I701" s="2" t="s">
        <v>53</v>
      </c>
    </row>
    <row r="702" spans="1:9">
      <c r="A702" s="2" t="s">
        <v>1574</v>
      </c>
      <c r="B702" s="2" t="s">
        <v>174</v>
      </c>
      <c r="C702" s="2" t="s">
        <v>96</v>
      </c>
      <c r="D702" s="2" t="s">
        <v>73</v>
      </c>
      <c r="E702" s="2">
        <f>SUMIF('03_LOTES'!B:B, F702, '03_LOTES'!E:E)</f>
        <v>0</v>
      </c>
      <c r="F702" s="2">
        <f>A702 &amp; " | " &amp; B702 &amp; " | " &amp; C702</f>
        <v>0</v>
      </c>
      <c r="G702" s="2" t="s">
        <v>1575</v>
      </c>
      <c r="I702" s="2" t="s">
        <v>53</v>
      </c>
    </row>
    <row r="703" spans="1:9">
      <c r="A703" s="2" t="s">
        <v>1576</v>
      </c>
      <c r="B703" s="2" t="s">
        <v>382</v>
      </c>
      <c r="C703" s="2" t="s">
        <v>105</v>
      </c>
      <c r="D703" s="2" t="s">
        <v>73</v>
      </c>
      <c r="E703" s="2">
        <f>SUMIF('03_LOTES'!B:B, F703, '03_LOTES'!E:E)</f>
        <v>0</v>
      </c>
      <c r="F703" s="2">
        <f>A703 &amp; " | " &amp; B703 &amp; " | " &amp; C703</f>
        <v>0</v>
      </c>
      <c r="G703" s="2" t="s">
        <v>1577</v>
      </c>
      <c r="I703" s="2" t="s">
        <v>53</v>
      </c>
    </row>
    <row r="704" spans="1:9">
      <c r="A704" s="2" t="s">
        <v>1576</v>
      </c>
      <c r="B704" s="2" t="s">
        <v>225</v>
      </c>
      <c r="C704" s="2" t="s">
        <v>77</v>
      </c>
      <c r="D704" s="2" t="s">
        <v>73</v>
      </c>
      <c r="E704" s="2">
        <f>SUMIF('03_LOTES'!B:B, F704, '03_LOTES'!E:E)</f>
        <v>0</v>
      </c>
      <c r="F704" s="2">
        <f>A704 &amp; " | " &amp; B704 &amp; " | " &amp; C704</f>
        <v>0</v>
      </c>
      <c r="G704" s="2" t="s">
        <v>1578</v>
      </c>
      <c r="I704" s="2" t="s">
        <v>53</v>
      </c>
    </row>
    <row r="705" spans="1:9">
      <c r="A705" s="2" t="s">
        <v>1579</v>
      </c>
      <c r="B705" s="2" t="s">
        <v>1580</v>
      </c>
      <c r="C705" s="2" t="s">
        <v>411</v>
      </c>
      <c r="D705" s="2" t="s">
        <v>67</v>
      </c>
      <c r="E705" s="2">
        <f>SUMIF('03_LOTES'!B:B, F705, '03_LOTES'!E:E)</f>
        <v>0</v>
      </c>
      <c r="F705" s="2">
        <f>A705 &amp; " | " &amp; B705 &amp; " | " &amp; C705</f>
        <v>0</v>
      </c>
      <c r="G705" s="2" t="s">
        <v>1581</v>
      </c>
      <c r="I705" s="2" t="s">
        <v>53</v>
      </c>
    </row>
    <row r="706" spans="1:9">
      <c r="A706" s="2" t="s">
        <v>1582</v>
      </c>
      <c r="B706" s="2" t="s">
        <v>237</v>
      </c>
      <c r="C706" s="2" t="s">
        <v>447</v>
      </c>
      <c r="D706" s="2" t="s">
        <v>73</v>
      </c>
      <c r="E706" s="2">
        <f>SUMIF('03_LOTES'!B:B, F706, '03_LOTES'!E:E)</f>
        <v>0</v>
      </c>
      <c r="F706" s="2">
        <f>A706 &amp; " | " &amp; B706 &amp; " | " &amp; C706</f>
        <v>0</v>
      </c>
      <c r="G706" s="2" t="s">
        <v>1583</v>
      </c>
      <c r="I706" s="2" t="s">
        <v>53</v>
      </c>
    </row>
    <row r="707" spans="1:9">
      <c r="A707" s="2" t="s">
        <v>1584</v>
      </c>
      <c r="B707" s="2" t="s">
        <v>1585</v>
      </c>
      <c r="C707" s="2" t="s">
        <v>96</v>
      </c>
      <c r="D707" s="2" t="s">
        <v>73</v>
      </c>
      <c r="E707" s="2">
        <f>SUMIF('03_LOTES'!B:B, F707, '03_LOTES'!E:E)</f>
        <v>0</v>
      </c>
      <c r="F707" s="2">
        <f>A707 &amp; " | " &amp; B707 &amp; " | " &amp; C707</f>
        <v>0</v>
      </c>
      <c r="G707" s="2" t="s">
        <v>1586</v>
      </c>
      <c r="I707" s="2" t="s">
        <v>53</v>
      </c>
    </row>
    <row r="708" spans="1:9">
      <c r="A708" s="2" t="s">
        <v>1587</v>
      </c>
      <c r="B708" s="2" t="s">
        <v>1588</v>
      </c>
      <c r="C708" s="2" t="s">
        <v>96</v>
      </c>
      <c r="D708" s="2" t="s">
        <v>51</v>
      </c>
      <c r="E708" s="2">
        <f>SUMIF('03_LOTES'!B:B, F708, '03_LOTES'!E:E)</f>
        <v>0</v>
      </c>
      <c r="F708" s="2">
        <f>A708 &amp; " | " &amp; B708 &amp; " | " &amp; C708</f>
        <v>0</v>
      </c>
      <c r="G708" s="2" t="s">
        <v>1589</v>
      </c>
      <c r="I708" s="2" t="s">
        <v>53</v>
      </c>
    </row>
    <row r="709" spans="1:9">
      <c r="A709" s="2" t="s">
        <v>1587</v>
      </c>
      <c r="B709" s="2" t="s">
        <v>151</v>
      </c>
      <c r="C709" s="2" t="s">
        <v>77</v>
      </c>
      <c r="D709" s="2" t="s">
        <v>51</v>
      </c>
      <c r="E709" s="2">
        <f>SUMIF('03_LOTES'!B:B, F709, '03_LOTES'!E:E)</f>
        <v>0</v>
      </c>
      <c r="F709" s="2">
        <f>A709 &amp; " | " &amp; B709 &amp; " | " &amp; C709</f>
        <v>0</v>
      </c>
      <c r="G709" s="2" t="s">
        <v>1590</v>
      </c>
      <c r="I709" s="2" t="s">
        <v>53</v>
      </c>
    </row>
    <row r="710" spans="1:9">
      <c r="A710" s="2" t="s">
        <v>1587</v>
      </c>
      <c r="B710" s="2" t="s">
        <v>408</v>
      </c>
      <c r="C710" s="2" t="s">
        <v>1591</v>
      </c>
      <c r="D710" s="2" t="s">
        <v>51</v>
      </c>
      <c r="E710" s="2">
        <f>SUMIF('03_LOTES'!B:B, F710, '03_LOTES'!E:E)</f>
        <v>0</v>
      </c>
      <c r="F710" s="2">
        <f>A710 &amp; " | " &amp; B710 &amp; " | " &amp; C710</f>
        <v>0</v>
      </c>
      <c r="G710" s="2" t="s">
        <v>1592</v>
      </c>
      <c r="I710" s="2" t="s">
        <v>53</v>
      </c>
    </row>
    <row r="711" spans="1:9">
      <c r="A711" s="2" t="s">
        <v>1593</v>
      </c>
      <c r="B711" s="2" t="s">
        <v>1594</v>
      </c>
      <c r="C711" s="2" t="s">
        <v>96</v>
      </c>
      <c r="D711" s="2" t="s">
        <v>73</v>
      </c>
      <c r="E711" s="2">
        <f>SUMIF('03_LOTES'!B:B, F711, '03_LOTES'!E:E)</f>
        <v>0</v>
      </c>
      <c r="F711" s="2">
        <f>A711 &amp; " | " &amp; B711 &amp; " | " &amp; C711</f>
        <v>0</v>
      </c>
      <c r="G711" s="2" t="s">
        <v>1595</v>
      </c>
      <c r="I711" s="2" t="s">
        <v>53</v>
      </c>
    </row>
    <row r="712" spans="1:9">
      <c r="A712" s="2" t="s">
        <v>1593</v>
      </c>
      <c r="B712" s="2" t="s">
        <v>442</v>
      </c>
      <c r="C712" s="2" t="s">
        <v>96</v>
      </c>
      <c r="D712" s="2" t="s">
        <v>73</v>
      </c>
      <c r="E712" s="2">
        <f>SUMIF('03_LOTES'!B:B, F712, '03_LOTES'!E:E)</f>
        <v>0</v>
      </c>
      <c r="F712" s="2">
        <f>A712 &amp; " | " &amp; B712 &amp; " | " &amp; C712</f>
        <v>0</v>
      </c>
      <c r="G712" s="2" t="s">
        <v>1596</v>
      </c>
      <c r="I712" s="2" t="s">
        <v>53</v>
      </c>
    </row>
    <row r="713" spans="1:9">
      <c r="A713" s="2" t="s">
        <v>1597</v>
      </c>
      <c r="B713" s="2" t="s">
        <v>80</v>
      </c>
      <c r="C713" s="2" t="s">
        <v>77</v>
      </c>
      <c r="D713" s="2" t="s">
        <v>73</v>
      </c>
      <c r="E713" s="2">
        <f>SUMIF('03_LOTES'!B:B, F713, '03_LOTES'!E:E)</f>
        <v>0</v>
      </c>
      <c r="F713" s="2">
        <f>A713 &amp; " | " &amp; B713 &amp; " | " &amp; C713</f>
        <v>0</v>
      </c>
      <c r="G713" s="2" t="s">
        <v>1598</v>
      </c>
      <c r="I713" s="2" t="s">
        <v>53</v>
      </c>
    </row>
    <row r="714" spans="1:9">
      <c r="A714" s="2" t="s">
        <v>1599</v>
      </c>
      <c r="B714" s="2" t="s">
        <v>1600</v>
      </c>
      <c r="C714" s="2" t="s">
        <v>96</v>
      </c>
      <c r="D714" s="2" t="s">
        <v>73</v>
      </c>
      <c r="E714" s="2">
        <f>SUMIF('03_LOTES'!B:B, F714, '03_LOTES'!E:E)</f>
        <v>0</v>
      </c>
      <c r="F714" s="2">
        <f>A714 &amp; " | " &amp; B714 &amp; " | " &amp; C714</f>
        <v>0</v>
      </c>
      <c r="G714" s="2" t="s">
        <v>1601</v>
      </c>
      <c r="I714" s="2" t="s">
        <v>53</v>
      </c>
    </row>
    <row r="715" spans="1:9">
      <c r="A715" s="2" t="s">
        <v>1599</v>
      </c>
      <c r="B715" s="2" t="s">
        <v>1602</v>
      </c>
      <c r="C715" s="2" t="s">
        <v>96</v>
      </c>
      <c r="D715" s="2" t="s">
        <v>73</v>
      </c>
      <c r="E715" s="2">
        <f>SUMIF('03_LOTES'!B:B, F715, '03_LOTES'!E:E)</f>
        <v>0</v>
      </c>
      <c r="F715" s="2">
        <f>A715 &amp; " | " &amp; B715 &amp; " | " &amp; C715</f>
        <v>0</v>
      </c>
      <c r="G715" s="2" t="s">
        <v>1603</v>
      </c>
      <c r="I715" s="2" t="s">
        <v>53</v>
      </c>
    </row>
    <row r="716" spans="1:9">
      <c r="A716" s="2" t="s">
        <v>1604</v>
      </c>
      <c r="B716" s="2" t="s">
        <v>1605</v>
      </c>
      <c r="C716" s="2" t="s">
        <v>1606</v>
      </c>
      <c r="D716" s="2" t="s">
        <v>73</v>
      </c>
      <c r="E716" s="2">
        <f>SUMIF('03_LOTES'!B:B, F716, '03_LOTES'!E:E)</f>
        <v>0</v>
      </c>
      <c r="F716" s="2">
        <f>A716 &amp; " | " &amp; B716 &amp; " | " &amp; C716</f>
        <v>0</v>
      </c>
      <c r="G716" s="2" t="s">
        <v>1607</v>
      </c>
      <c r="I716" s="2" t="s">
        <v>53</v>
      </c>
    </row>
    <row r="717" spans="1:9">
      <c r="A717" s="2" t="s">
        <v>1608</v>
      </c>
      <c r="B717" s="2" t="s">
        <v>237</v>
      </c>
      <c r="C717" s="2" t="s">
        <v>238</v>
      </c>
      <c r="D717" s="2" t="s">
        <v>73</v>
      </c>
      <c r="E717" s="2">
        <f>SUMIF('03_LOTES'!B:B, F717, '03_LOTES'!E:E)</f>
        <v>0</v>
      </c>
      <c r="F717" s="2">
        <f>A717 &amp; " | " &amp; B717 &amp; " | " &amp; C717</f>
        <v>0</v>
      </c>
      <c r="G717" s="2" t="s">
        <v>1609</v>
      </c>
      <c r="I717" s="2" t="s">
        <v>53</v>
      </c>
    </row>
    <row r="718" spans="1:9">
      <c r="A718" s="2" t="s">
        <v>1610</v>
      </c>
      <c r="B718" s="2" t="s">
        <v>90</v>
      </c>
      <c r="C718" s="2" t="s">
        <v>1611</v>
      </c>
      <c r="D718" s="2" t="s">
        <v>73</v>
      </c>
      <c r="E718" s="2">
        <f>SUMIF('03_LOTES'!B:B, F718, '03_LOTES'!E:E)</f>
        <v>0</v>
      </c>
      <c r="F718" s="2">
        <f>A718 &amp; " | " &amp; B718 &amp; " | " &amp; C718</f>
        <v>0</v>
      </c>
      <c r="G718" s="2" t="s">
        <v>1612</v>
      </c>
      <c r="I718" s="2" t="s">
        <v>53</v>
      </c>
    </row>
    <row r="719" spans="1:9">
      <c r="A719" s="2" t="s">
        <v>1613</v>
      </c>
      <c r="B719" s="2" t="s">
        <v>1614</v>
      </c>
      <c r="C719" s="2" t="s">
        <v>409</v>
      </c>
      <c r="D719" s="2" t="s">
        <v>73</v>
      </c>
      <c r="E719" s="2">
        <f>SUMIF('03_LOTES'!B:B, F719, '03_LOTES'!E:E)</f>
        <v>0</v>
      </c>
      <c r="F719" s="2">
        <f>A719 &amp; " | " &amp; B719 &amp; " | " &amp; C719</f>
        <v>0</v>
      </c>
      <c r="G719" s="2" t="s">
        <v>1615</v>
      </c>
      <c r="I719" s="2" t="s">
        <v>53</v>
      </c>
    </row>
    <row r="720" spans="1:9">
      <c r="A720" s="2" t="s">
        <v>1613</v>
      </c>
      <c r="B720" s="2" t="s">
        <v>1616</v>
      </c>
      <c r="C720" s="2" t="s">
        <v>409</v>
      </c>
      <c r="D720" s="2" t="s">
        <v>73</v>
      </c>
      <c r="E720" s="2">
        <f>SUMIF('03_LOTES'!B:B, F720, '03_LOTES'!E:E)</f>
        <v>0</v>
      </c>
      <c r="F720" s="2">
        <f>A720 &amp; " | " &amp; B720 &amp; " | " &amp; C720</f>
        <v>0</v>
      </c>
      <c r="G720" s="2" t="s">
        <v>1617</v>
      </c>
      <c r="I720" s="2" t="s">
        <v>53</v>
      </c>
    </row>
    <row r="721" spans="1:9">
      <c r="A721" s="2" t="s">
        <v>1618</v>
      </c>
      <c r="B721" s="2" t="s">
        <v>1619</v>
      </c>
      <c r="C721" s="2" t="s">
        <v>96</v>
      </c>
      <c r="D721" s="2" t="s">
        <v>73</v>
      </c>
      <c r="E721" s="2">
        <f>SUMIF('03_LOTES'!B:B, F721, '03_LOTES'!E:E)</f>
        <v>0</v>
      </c>
      <c r="F721" s="2">
        <f>A721 &amp; " | " &amp; B721 &amp; " | " &amp; C721</f>
        <v>0</v>
      </c>
      <c r="G721" s="2" t="s">
        <v>1620</v>
      </c>
      <c r="I721" s="2" t="s">
        <v>53</v>
      </c>
    </row>
    <row r="722" spans="1:9">
      <c r="A722" s="2" t="s">
        <v>1621</v>
      </c>
      <c r="B722" s="2" t="s">
        <v>1622</v>
      </c>
      <c r="C722" s="2" t="s">
        <v>96</v>
      </c>
      <c r="D722" s="2" t="s">
        <v>73</v>
      </c>
      <c r="E722" s="2">
        <f>SUMIF('03_LOTES'!B:B, F722, '03_LOTES'!E:E)</f>
        <v>0</v>
      </c>
      <c r="F722" s="2">
        <f>A722 &amp; " | " &amp; B722 &amp; " | " &amp; C722</f>
        <v>0</v>
      </c>
      <c r="G722" s="2" t="s">
        <v>1623</v>
      </c>
      <c r="I722" s="2" t="s">
        <v>53</v>
      </c>
    </row>
    <row r="723" spans="1:9">
      <c r="A723" s="2" t="s">
        <v>1624</v>
      </c>
      <c r="B723" s="2" t="s">
        <v>1622</v>
      </c>
      <c r="C723" s="2" t="s">
        <v>96</v>
      </c>
      <c r="D723" s="2" t="s">
        <v>73</v>
      </c>
      <c r="E723" s="2">
        <f>SUMIF('03_LOTES'!B:B, F723, '03_LOTES'!E:E)</f>
        <v>0</v>
      </c>
      <c r="F723" s="2">
        <f>A723 &amp; " | " &amp; B723 &amp; " | " &amp; C723</f>
        <v>0</v>
      </c>
      <c r="G723" s="2" t="s">
        <v>1625</v>
      </c>
      <c r="I723" s="2" t="s">
        <v>53</v>
      </c>
    </row>
    <row r="724" spans="1:9">
      <c r="A724" s="2" t="s">
        <v>1626</v>
      </c>
      <c r="B724" s="2" t="s">
        <v>1614</v>
      </c>
      <c r="C724" s="2" t="s">
        <v>96</v>
      </c>
      <c r="D724" s="2" t="s">
        <v>73</v>
      </c>
      <c r="E724" s="2">
        <f>SUMIF('03_LOTES'!B:B, F724, '03_LOTES'!E:E)</f>
        <v>0</v>
      </c>
      <c r="F724" s="2">
        <f>A724 &amp; " | " &amp; B724 &amp; " | " &amp; C724</f>
        <v>0</v>
      </c>
      <c r="G724" s="2" t="s">
        <v>1627</v>
      </c>
      <c r="I724" s="2" t="s">
        <v>53</v>
      </c>
    </row>
    <row r="725" spans="1:9">
      <c r="A725" s="2" t="s">
        <v>1626</v>
      </c>
      <c r="B725" s="2" t="s">
        <v>1616</v>
      </c>
      <c r="C725" s="2" t="s">
        <v>96</v>
      </c>
      <c r="D725" s="2" t="s">
        <v>73</v>
      </c>
      <c r="E725" s="2">
        <f>SUMIF('03_LOTES'!B:B, F725, '03_LOTES'!E:E)</f>
        <v>0</v>
      </c>
      <c r="F725" s="2">
        <f>A725 &amp; " | " &amp; B725 &amp; " | " &amp; C725</f>
        <v>0</v>
      </c>
      <c r="G725" s="2" t="s">
        <v>1628</v>
      </c>
      <c r="I725" s="2" t="s">
        <v>53</v>
      </c>
    </row>
    <row r="726" spans="1:9">
      <c r="A726" s="2" t="s">
        <v>1629</v>
      </c>
      <c r="B726" s="2" t="s">
        <v>1622</v>
      </c>
      <c r="C726" s="2" t="s">
        <v>96</v>
      </c>
      <c r="D726" s="2" t="s">
        <v>73</v>
      </c>
      <c r="E726" s="2">
        <f>SUMIF('03_LOTES'!B:B, F726, '03_LOTES'!E:E)</f>
        <v>0</v>
      </c>
      <c r="F726" s="2">
        <f>A726 &amp; " | " &amp; B726 &amp; " | " &amp; C726</f>
        <v>0</v>
      </c>
      <c r="G726" s="2" t="s">
        <v>1630</v>
      </c>
      <c r="I726" s="2" t="s">
        <v>53</v>
      </c>
    </row>
    <row r="727" spans="1:9">
      <c r="A727" s="2" t="s">
        <v>1631</v>
      </c>
      <c r="B727" s="2" t="s">
        <v>1632</v>
      </c>
      <c r="C727" s="2" t="s">
        <v>96</v>
      </c>
      <c r="D727" s="2" t="s">
        <v>73</v>
      </c>
      <c r="E727" s="2">
        <f>SUMIF('03_LOTES'!B:B, F727, '03_LOTES'!E:E)</f>
        <v>0</v>
      </c>
      <c r="F727" s="2">
        <f>A727 &amp; " | " &amp; B727 &amp; " | " &amp; C727</f>
        <v>0</v>
      </c>
      <c r="G727" s="2" t="s">
        <v>1633</v>
      </c>
      <c r="I727" s="2" t="s">
        <v>53</v>
      </c>
    </row>
    <row r="728" spans="1:9">
      <c r="A728" s="2" t="s">
        <v>1631</v>
      </c>
      <c r="B728" s="2" t="s">
        <v>1634</v>
      </c>
      <c r="C728" s="2" t="s">
        <v>96</v>
      </c>
      <c r="D728" s="2" t="s">
        <v>73</v>
      </c>
      <c r="E728" s="2">
        <f>SUMIF('03_LOTES'!B:B, F728, '03_LOTES'!E:E)</f>
        <v>0</v>
      </c>
      <c r="F728" s="2">
        <f>A728 &amp; " | " &amp; B728 &amp; " | " &amp; C728</f>
        <v>0</v>
      </c>
      <c r="G728" s="2" t="s">
        <v>1635</v>
      </c>
      <c r="I728" s="2" t="s">
        <v>53</v>
      </c>
    </row>
    <row r="729" spans="1:9">
      <c r="A729" s="2" t="s">
        <v>1631</v>
      </c>
      <c r="B729" s="2" t="s">
        <v>1636</v>
      </c>
      <c r="C729" s="2" t="s">
        <v>96</v>
      </c>
      <c r="D729" s="2" t="s">
        <v>73</v>
      </c>
      <c r="E729" s="2">
        <f>SUMIF('03_LOTES'!B:B, F729, '03_LOTES'!E:E)</f>
        <v>0</v>
      </c>
      <c r="F729" s="2">
        <f>A729 &amp; " | " &amp; B729 &amp; " | " &amp; C729</f>
        <v>0</v>
      </c>
      <c r="G729" s="2" t="s">
        <v>1637</v>
      </c>
      <c r="I729" s="2" t="s">
        <v>53</v>
      </c>
    </row>
    <row r="730" spans="1:9">
      <c r="A730" s="2" t="s">
        <v>1638</v>
      </c>
      <c r="B730" s="2" t="s">
        <v>1622</v>
      </c>
      <c r="C730" s="2" t="s">
        <v>96</v>
      </c>
      <c r="D730" s="2" t="s">
        <v>73</v>
      </c>
      <c r="E730" s="2">
        <f>SUMIF('03_LOTES'!B:B, F730, '03_LOTES'!E:E)</f>
        <v>0</v>
      </c>
      <c r="F730" s="2">
        <f>A730 &amp; " | " &amp; B730 &amp; " | " &amp; C730</f>
        <v>0</v>
      </c>
      <c r="G730" s="2" t="s">
        <v>1639</v>
      </c>
      <c r="I730" s="2" t="s">
        <v>53</v>
      </c>
    </row>
    <row r="731" spans="1:9">
      <c r="A731" s="2" t="s">
        <v>1640</v>
      </c>
      <c r="B731" s="2" t="s">
        <v>1616</v>
      </c>
      <c r="C731" s="2" t="s">
        <v>96</v>
      </c>
      <c r="D731" s="2" t="s">
        <v>73</v>
      </c>
      <c r="E731" s="2">
        <f>SUMIF('03_LOTES'!B:B, F731, '03_LOTES'!E:E)</f>
        <v>0</v>
      </c>
      <c r="F731" s="2">
        <f>A731 &amp; " | " &amp; B731 &amp; " | " &amp; C731</f>
        <v>0</v>
      </c>
      <c r="G731" s="2" t="s">
        <v>1641</v>
      </c>
      <c r="I731" s="2" t="s">
        <v>53</v>
      </c>
    </row>
    <row r="732" spans="1:9">
      <c r="A732" s="2" t="s">
        <v>1642</v>
      </c>
      <c r="B732" s="2" t="s">
        <v>1622</v>
      </c>
      <c r="C732" s="2" t="s">
        <v>409</v>
      </c>
      <c r="D732" s="2" t="s">
        <v>73</v>
      </c>
      <c r="E732" s="2">
        <f>SUMIF('03_LOTES'!B:B, F732, '03_LOTES'!E:E)</f>
        <v>0</v>
      </c>
      <c r="F732" s="2">
        <f>A732 &amp; " | " &amp; B732 &amp; " | " &amp; C732</f>
        <v>0</v>
      </c>
      <c r="G732" s="2" t="s">
        <v>1643</v>
      </c>
      <c r="I732" s="2" t="s">
        <v>53</v>
      </c>
    </row>
    <row r="733" spans="1:9">
      <c r="A733" s="2" t="s">
        <v>1644</v>
      </c>
      <c r="B733" s="2" t="s">
        <v>1622</v>
      </c>
      <c r="C733" s="2" t="s">
        <v>96</v>
      </c>
      <c r="D733" s="2" t="s">
        <v>73</v>
      </c>
      <c r="E733" s="2">
        <f>SUMIF('03_LOTES'!B:B, F733, '03_LOTES'!E:E)</f>
        <v>0</v>
      </c>
      <c r="F733" s="2">
        <f>A733 &amp; " | " &amp; B733 &amp; " | " &amp; C733</f>
        <v>0</v>
      </c>
      <c r="G733" s="2" t="s">
        <v>1645</v>
      </c>
      <c r="I733" s="2" t="s">
        <v>53</v>
      </c>
    </row>
    <row r="734" spans="1:9">
      <c r="A734" s="2" t="s">
        <v>1646</v>
      </c>
      <c r="B734" s="2" t="s">
        <v>1647</v>
      </c>
      <c r="C734" s="2" t="s">
        <v>96</v>
      </c>
      <c r="D734" s="2" t="s">
        <v>73</v>
      </c>
      <c r="E734" s="2">
        <f>SUMIF('03_LOTES'!B:B, F734, '03_LOTES'!E:E)</f>
        <v>0</v>
      </c>
      <c r="F734" s="2">
        <f>A734 &amp; " | " &amp; B734 &amp; " | " &amp; C734</f>
        <v>0</v>
      </c>
      <c r="G734" s="2" t="s">
        <v>1648</v>
      </c>
      <c r="I734" s="2" t="s">
        <v>53</v>
      </c>
    </row>
    <row r="735" spans="1:9">
      <c r="A735" s="2" t="s">
        <v>1649</v>
      </c>
      <c r="B735" s="2" t="s">
        <v>1622</v>
      </c>
      <c r="C735" s="2" t="s">
        <v>96</v>
      </c>
      <c r="D735" s="2" t="s">
        <v>73</v>
      </c>
      <c r="E735" s="2">
        <f>SUMIF('03_LOTES'!B:B, F735, '03_LOTES'!E:E)</f>
        <v>0</v>
      </c>
      <c r="F735" s="2">
        <f>A735 &amp; " | " &amp; B735 &amp; " | " &amp; C735</f>
        <v>0</v>
      </c>
      <c r="G735" s="2" t="s">
        <v>1650</v>
      </c>
      <c r="I735" s="2" t="s">
        <v>53</v>
      </c>
    </row>
    <row r="736" spans="1:9">
      <c r="A736" s="2" t="s">
        <v>1651</v>
      </c>
      <c r="B736" s="2" t="s">
        <v>1634</v>
      </c>
      <c r="C736" s="2" t="s">
        <v>96</v>
      </c>
      <c r="D736" s="2" t="s">
        <v>73</v>
      </c>
      <c r="E736" s="2">
        <f>SUMIF('03_LOTES'!B:B, F736, '03_LOTES'!E:E)</f>
        <v>0</v>
      </c>
      <c r="F736" s="2">
        <f>A736 &amp; " | " &amp; B736 &amp; " | " &amp; C736</f>
        <v>0</v>
      </c>
      <c r="G736" s="2" t="s">
        <v>1652</v>
      </c>
      <c r="I736" s="2" t="s">
        <v>53</v>
      </c>
    </row>
    <row r="737" spans="1:9">
      <c r="A737" s="2" t="s">
        <v>1653</v>
      </c>
      <c r="B737" s="2" t="s">
        <v>1634</v>
      </c>
      <c r="C737" s="2" t="s">
        <v>96</v>
      </c>
      <c r="D737" s="2" t="s">
        <v>73</v>
      </c>
      <c r="E737" s="2">
        <f>SUMIF('03_LOTES'!B:B, F737, '03_LOTES'!E:E)</f>
        <v>0</v>
      </c>
      <c r="F737" s="2">
        <f>A737 &amp; " | " &amp; B737 &amp; " | " &amp; C737</f>
        <v>0</v>
      </c>
      <c r="G737" s="2" t="s">
        <v>1654</v>
      </c>
      <c r="I737" s="2" t="s">
        <v>53</v>
      </c>
    </row>
    <row r="738" spans="1:9">
      <c r="A738" s="2" t="s">
        <v>1655</v>
      </c>
      <c r="B738" s="2" t="s">
        <v>1622</v>
      </c>
      <c r="C738" s="2" t="s">
        <v>96</v>
      </c>
      <c r="D738" s="2" t="s">
        <v>73</v>
      </c>
      <c r="E738" s="2">
        <f>SUMIF('03_LOTES'!B:B, F738, '03_LOTES'!E:E)</f>
        <v>0</v>
      </c>
      <c r="F738" s="2">
        <f>A738 &amp; " | " &amp; B738 &amp; " | " &amp; C738</f>
        <v>0</v>
      </c>
      <c r="G738" s="2" t="s">
        <v>1656</v>
      </c>
      <c r="I738" s="2" t="s">
        <v>53</v>
      </c>
    </row>
    <row r="739" spans="1:9">
      <c r="A739" s="2" t="s">
        <v>1657</v>
      </c>
      <c r="B739" s="2" t="s">
        <v>1622</v>
      </c>
      <c r="C739" s="2" t="s">
        <v>96</v>
      </c>
      <c r="D739" s="2" t="s">
        <v>73</v>
      </c>
      <c r="E739" s="2">
        <f>SUMIF('03_LOTES'!B:B, F739, '03_LOTES'!E:E)</f>
        <v>0</v>
      </c>
      <c r="F739" s="2">
        <f>A739 &amp; " | " &amp; B739 &amp; " | " &amp; C739</f>
        <v>0</v>
      </c>
      <c r="G739" s="2" t="s">
        <v>1658</v>
      </c>
      <c r="I739" s="2" t="s">
        <v>53</v>
      </c>
    </row>
    <row r="740" spans="1:9">
      <c r="A740" s="2" t="s">
        <v>1659</v>
      </c>
      <c r="B740" s="2" t="s">
        <v>1622</v>
      </c>
      <c r="C740" s="2" t="s">
        <v>96</v>
      </c>
      <c r="D740" s="2" t="s">
        <v>73</v>
      </c>
      <c r="E740" s="2">
        <f>SUMIF('03_LOTES'!B:B, F740, '03_LOTES'!E:E)</f>
        <v>0</v>
      </c>
      <c r="F740" s="2">
        <f>A740 &amp; " | " &amp; B740 &amp; " | " &amp; C740</f>
        <v>0</v>
      </c>
      <c r="G740" s="2" t="s">
        <v>1660</v>
      </c>
      <c r="I740" s="2" t="s">
        <v>53</v>
      </c>
    </row>
    <row r="741" spans="1:9">
      <c r="A741" s="2" t="s">
        <v>1661</v>
      </c>
      <c r="B741" s="2" t="s">
        <v>366</v>
      </c>
      <c r="C741" s="2" t="s">
        <v>77</v>
      </c>
      <c r="D741" s="2" t="s">
        <v>73</v>
      </c>
      <c r="E741" s="2">
        <f>SUMIF('03_LOTES'!B:B, F741, '03_LOTES'!E:E)</f>
        <v>0</v>
      </c>
      <c r="F741" s="2">
        <f>A741 &amp; " | " &amp; B741 &amp; " | " &amp; C741</f>
        <v>0</v>
      </c>
      <c r="G741" s="2" t="s">
        <v>1662</v>
      </c>
      <c r="I741" s="2" t="s">
        <v>53</v>
      </c>
    </row>
    <row r="742" spans="1:9">
      <c r="A742" s="2" t="s">
        <v>1663</v>
      </c>
      <c r="B742" s="2" t="s">
        <v>112</v>
      </c>
      <c r="C742" s="2" t="s">
        <v>96</v>
      </c>
      <c r="D742" s="2" t="s">
        <v>73</v>
      </c>
      <c r="E742" s="2">
        <f>SUMIF('03_LOTES'!B:B, F742, '03_LOTES'!E:E)</f>
        <v>0</v>
      </c>
      <c r="F742" s="2">
        <f>A742 &amp; " | " &amp; B742 &amp; " | " &amp; C742</f>
        <v>0</v>
      </c>
      <c r="G742" s="2" t="s">
        <v>1664</v>
      </c>
      <c r="I742" s="2" t="s">
        <v>53</v>
      </c>
    </row>
    <row r="743" spans="1:9">
      <c r="A743" s="2" t="s">
        <v>1665</v>
      </c>
      <c r="B743" s="2" t="s">
        <v>90</v>
      </c>
      <c r="C743" s="2" t="s">
        <v>138</v>
      </c>
      <c r="D743" s="2" t="s">
        <v>73</v>
      </c>
      <c r="E743" s="2">
        <f>SUMIF('03_LOTES'!B:B, F743, '03_LOTES'!E:E)</f>
        <v>0</v>
      </c>
      <c r="F743" s="2">
        <f>A743 &amp; " | " &amp; B743 &amp; " | " &amp; C743</f>
        <v>0</v>
      </c>
      <c r="G743" s="2" t="s">
        <v>1666</v>
      </c>
      <c r="I743" s="2" t="s">
        <v>53</v>
      </c>
    </row>
    <row r="744" spans="1:9">
      <c r="A744" s="2" t="s">
        <v>1667</v>
      </c>
      <c r="B744" s="2" t="s">
        <v>90</v>
      </c>
      <c r="C744" s="2" t="s">
        <v>1668</v>
      </c>
      <c r="D744" s="2" t="s">
        <v>73</v>
      </c>
      <c r="E744" s="2">
        <f>SUMIF('03_LOTES'!B:B, F744, '03_LOTES'!E:E)</f>
        <v>0</v>
      </c>
      <c r="F744" s="2">
        <f>A744 &amp; " | " &amp; B744 &amp; " | " &amp; C744</f>
        <v>0</v>
      </c>
      <c r="G744" s="2" t="s">
        <v>1669</v>
      </c>
      <c r="I744" s="2" t="s">
        <v>53</v>
      </c>
    </row>
    <row r="745" spans="1:9">
      <c r="A745" s="2" t="s">
        <v>1670</v>
      </c>
      <c r="B745" s="2" t="s">
        <v>823</v>
      </c>
      <c r="C745" s="2" t="s">
        <v>77</v>
      </c>
      <c r="D745" s="2" t="s">
        <v>73</v>
      </c>
      <c r="E745" s="2">
        <f>SUMIF('03_LOTES'!B:B, F745, '03_LOTES'!E:E)</f>
        <v>0</v>
      </c>
      <c r="F745" s="2">
        <f>A745 &amp; " | " &amp; B745 &amp; " | " &amp; C745</f>
        <v>0</v>
      </c>
      <c r="G745" s="2" t="s">
        <v>1671</v>
      </c>
      <c r="I745" s="2" t="s">
        <v>53</v>
      </c>
    </row>
    <row r="746" spans="1:9">
      <c r="A746" s="2" t="s">
        <v>1670</v>
      </c>
      <c r="B746" s="2" t="s">
        <v>462</v>
      </c>
      <c r="C746" s="2" t="s">
        <v>96</v>
      </c>
      <c r="D746" s="2" t="s">
        <v>73</v>
      </c>
      <c r="E746" s="2">
        <f>SUMIF('03_LOTES'!B:B, F746, '03_LOTES'!E:E)</f>
        <v>0</v>
      </c>
      <c r="F746" s="2">
        <f>A746 &amp; " | " &amp; B746 &amp; " | " &amp; C746</f>
        <v>0</v>
      </c>
      <c r="G746" s="2" t="s">
        <v>1672</v>
      </c>
      <c r="I746" s="2" t="s">
        <v>53</v>
      </c>
    </row>
    <row r="747" spans="1:9">
      <c r="A747" s="2" t="s">
        <v>1670</v>
      </c>
      <c r="B747" s="2" t="s">
        <v>665</v>
      </c>
      <c r="C747" s="2" t="s">
        <v>77</v>
      </c>
      <c r="D747" s="2" t="s">
        <v>73</v>
      </c>
      <c r="E747" s="2">
        <f>SUMIF('03_LOTES'!B:B, F747, '03_LOTES'!E:E)</f>
        <v>0</v>
      </c>
      <c r="F747" s="2">
        <f>A747 &amp; " | " &amp; B747 &amp; " | " &amp; C747</f>
        <v>0</v>
      </c>
      <c r="G747" s="2" t="s">
        <v>1673</v>
      </c>
      <c r="I747" s="2" t="s">
        <v>53</v>
      </c>
    </row>
    <row r="748" spans="1:9">
      <c r="A748" s="2" t="s">
        <v>1674</v>
      </c>
      <c r="B748" s="2" t="s">
        <v>171</v>
      </c>
      <c r="C748" s="2" t="s">
        <v>96</v>
      </c>
      <c r="D748" s="2" t="s">
        <v>73</v>
      </c>
      <c r="E748" s="2">
        <f>SUMIF('03_LOTES'!B:B, F748, '03_LOTES'!E:E)</f>
        <v>0</v>
      </c>
      <c r="F748" s="2">
        <f>A748 &amp; " | " &amp; B748 &amp; " | " &amp; C748</f>
        <v>0</v>
      </c>
      <c r="G748" s="2" t="s">
        <v>1675</v>
      </c>
      <c r="I748" s="2" t="s">
        <v>53</v>
      </c>
    </row>
    <row r="749" spans="1:9">
      <c r="A749" s="2" t="s">
        <v>1676</v>
      </c>
      <c r="B749" s="2" t="s">
        <v>235</v>
      </c>
      <c r="C749" s="2" t="s">
        <v>96</v>
      </c>
      <c r="D749" s="2" t="s">
        <v>73</v>
      </c>
      <c r="E749" s="2">
        <f>SUMIF('03_LOTES'!B:B, F749, '03_LOTES'!E:E)</f>
        <v>0</v>
      </c>
      <c r="F749" s="2">
        <f>A749 &amp; " | " &amp; B749 &amp; " | " &amp; C749</f>
        <v>0</v>
      </c>
      <c r="G749" s="2" t="s">
        <v>1677</v>
      </c>
      <c r="I749" s="2" t="s">
        <v>53</v>
      </c>
    </row>
    <row r="750" spans="1:9">
      <c r="A750" s="2" t="s">
        <v>1678</v>
      </c>
      <c r="B750" s="2" t="s">
        <v>151</v>
      </c>
      <c r="C750" s="2" t="s">
        <v>96</v>
      </c>
      <c r="D750" s="2" t="s">
        <v>73</v>
      </c>
      <c r="E750" s="2">
        <f>SUMIF('03_LOTES'!B:B, F750, '03_LOTES'!E:E)</f>
        <v>0</v>
      </c>
      <c r="F750" s="2">
        <f>A750 &amp; " | " &amp; B750 &amp; " | " &amp; C750</f>
        <v>0</v>
      </c>
      <c r="G750" s="2" t="s">
        <v>1679</v>
      </c>
      <c r="I750" s="2" t="s">
        <v>53</v>
      </c>
    </row>
    <row r="751" spans="1:9">
      <c r="A751" s="2" t="s">
        <v>1680</v>
      </c>
      <c r="B751" s="2" t="s">
        <v>237</v>
      </c>
      <c r="C751" s="2" t="s">
        <v>447</v>
      </c>
      <c r="D751" s="2" t="s">
        <v>73</v>
      </c>
      <c r="E751" s="2">
        <f>SUMIF('03_LOTES'!B:B, F751, '03_LOTES'!E:E)</f>
        <v>0</v>
      </c>
      <c r="F751" s="2">
        <f>A751 &amp; " | " &amp; B751 &amp; " | " &amp; C751</f>
        <v>0</v>
      </c>
      <c r="G751" s="2" t="s">
        <v>1681</v>
      </c>
      <c r="I751" s="2" t="s">
        <v>53</v>
      </c>
    </row>
    <row r="752" spans="1:9">
      <c r="A752" s="2" t="s">
        <v>1682</v>
      </c>
      <c r="B752" s="2" t="s">
        <v>107</v>
      </c>
      <c r="C752" s="2" t="s">
        <v>252</v>
      </c>
      <c r="D752" s="2" t="s">
        <v>73</v>
      </c>
      <c r="E752" s="2">
        <f>SUMIF('03_LOTES'!B:B, F752, '03_LOTES'!E:E)</f>
        <v>0</v>
      </c>
      <c r="F752" s="2">
        <f>A752 &amp; " | " &amp; B752 &amp; " | " &amp; C752</f>
        <v>0</v>
      </c>
      <c r="G752" s="2" t="s">
        <v>1683</v>
      </c>
      <c r="I752" s="2" t="s">
        <v>53</v>
      </c>
    </row>
    <row r="753" spans="1:9">
      <c r="A753" s="2" t="s">
        <v>1684</v>
      </c>
      <c r="B753" s="2" t="s">
        <v>309</v>
      </c>
      <c r="C753" s="2" t="s">
        <v>148</v>
      </c>
      <c r="D753" s="2" t="s">
        <v>73</v>
      </c>
      <c r="E753" s="2">
        <f>SUMIF('03_LOTES'!B:B, F753, '03_LOTES'!E:E)</f>
        <v>0</v>
      </c>
      <c r="F753" s="2">
        <f>A753 &amp; " | " &amp; B753 &amp; " | " &amp; C753</f>
        <v>0</v>
      </c>
      <c r="G753" s="2" t="s">
        <v>1685</v>
      </c>
      <c r="I753" s="2" t="s">
        <v>53</v>
      </c>
    </row>
    <row r="754" spans="1:9">
      <c r="A754" s="2" t="s">
        <v>1686</v>
      </c>
      <c r="B754" s="2" t="s">
        <v>232</v>
      </c>
      <c r="C754" s="2" t="s">
        <v>96</v>
      </c>
      <c r="D754" s="2" t="s">
        <v>73</v>
      </c>
      <c r="E754" s="2">
        <f>SUMIF('03_LOTES'!B:B, F754, '03_LOTES'!E:E)</f>
        <v>0</v>
      </c>
      <c r="F754" s="2">
        <f>A754 &amp; " | " &amp; B754 &amp; " | " &amp; C754</f>
        <v>0</v>
      </c>
      <c r="G754" s="2" t="s">
        <v>1687</v>
      </c>
      <c r="I754" s="2" t="s">
        <v>53</v>
      </c>
    </row>
    <row r="755" spans="1:9">
      <c r="A755" s="2" t="s">
        <v>1686</v>
      </c>
      <c r="B755" s="2" t="s">
        <v>232</v>
      </c>
      <c r="C755" s="2" t="s">
        <v>1688</v>
      </c>
      <c r="D755" s="2" t="s">
        <v>73</v>
      </c>
      <c r="E755" s="2">
        <f>SUMIF('03_LOTES'!B:B, F755, '03_LOTES'!E:E)</f>
        <v>0</v>
      </c>
      <c r="F755" s="2">
        <f>A755 &amp; " | " &amp; B755 &amp; " | " &amp; C755</f>
        <v>0</v>
      </c>
      <c r="G755" s="2" t="s">
        <v>1689</v>
      </c>
      <c r="I755" s="2" t="s">
        <v>53</v>
      </c>
    </row>
    <row r="756" spans="1:9">
      <c r="A756" s="2" t="s">
        <v>1690</v>
      </c>
      <c r="B756" s="2" t="s">
        <v>1383</v>
      </c>
      <c r="C756" s="2" t="s">
        <v>77</v>
      </c>
      <c r="D756" s="2" t="s">
        <v>73</v>
      </c>
      <c r="E756" s="2">
        <f>SUMIF('03_LOTES'!B:B, F756, '03_LOTES'!E:E)</f>
        <v>0</v>
      </c>
      <c r="F756" s="2">
        <f>A756 &amp; " | " &amp; B756 &amp; " | " &amp; C756</f>
        <v>0</v>
      </c>
      <c r="G756" s="2" t="s">
        <v>1691</v>
      </c>
      <c r="I756" s="2" t="s">
        <v>53</v>
      </c>
    </row>
    <row r="757" spans="1:9">
      <c r="A757" s="2" t="s">
        <v>1692</v>
      </c>
      <c r="B757" s="2" t="s">
        <v>1693</v>
      </c>
      <c r="C757" s="2" t="s">
        <v>397</v>
      </c>
      <c r="D757" s="2" t="s">
        <v>67</v>
      </c>
      <c r="E757" s="2">
        <f>SUMIF('03_LOTES'!B:B, F757, '03_LOTES'!E:E)</f>
        <v>0</v>
      </c>
      <c r="F757" s="2">
        <f>A757 &amp; " | " &amp; B757 &amp; " | " &amp; C757</f>
        <v>0</v>
      </c>
      <c r="G757" s="2" t="s">
        <v>1694</v>
      </c>
      <c r="I757" s="2" t="s">
        <v>53</v>
      </c>
    </row>
    <row r="758" spans="1:9">
      <c r="A758" s="2" t="s">
        <v>1692</v>
      </c>
      <c r="B758" s="2" t="s">
        <v>229</v>
      </c>
      <c r="C758" s="2" t="s">
        <v>77</v>
      </c>
      <c r="D758" s="2" t="s">
        <v>67</v>
      </c>
      <c r="E758" s="2">
        <f>SUMIF('03_LOTES'!B:B, F758, '03_LOTES'!E:E)</f>
        <v>0</v>
      </c>
      <c r="F758" s="2">
        <f>A758 &amp; " | " &amp; B758 &amp; " | " &amp; C758</f>
        <v>0</v>
      </c>
      <c r="G758" s="2" t="s">
        <v>1695</v>
      </c>
      <c r="I758" s="2" t="s">
        <v>53</v>
      </c>
    </row>
    <row r="759" spans="1:9">
      <c r="A759" s="2" t="s">
        <v>1696</v>
      </c>
      <c r="B759" s="2" t="s">
        <v>573</v>
      </c>
      <c r="C759" s="2" t="s">
        <v>77</v>
      </c>
      <c r="D759" s="2" t="s">
        <v>73</v>
      </c>
      <c r="E759" s="2">
        <f>SUMIF('03_LOTES'!B:B, F759, '03_LOTES'!E:E)</f>
        <v>0</v>
      </c>
      <c r="F759" s="2">
        <f>A759 &amp; " | " &amp; B759 &amp; " | " &amp; C759</f>
        <v>0</v>
      </c>
      <c r="G759" s="2" t="s">
        <v>1697</v>
      </c>
      <c r="I759" s="2" t="s">
        <v>53</v>
      </c>
    </row>
    <row r="760" spans="1:9">
      <c r="A760" s="2" t="s">
        <v>1698</v>
      </c>
      <c r="B760" s="2" t="s">
        <v>1699</v>
      </c>
      <c r="C760" s="2" t="s">
        <v>96</v>
      </c>
      <c r="D760" s="2" t="s">
        <v>67</v>
      </c>
      <c r="E760" s="2">
        <f>SUMIF('03_LOTES'!B:B, F760, '03_LOTES'!E:E)</f>
        <v>0</v>
      </c>
      <c r="F760" s="2">
        <f>A760 &amp; " | " &amp; B760 &amp; " | " &amp; C760</f>
        <v>0</v>
      </c>
      <c r="G760" s="2" t="s">
        <v>1700</v>
      </c>
      <c r="I760" s="2" t="s">
        <v>53</v>
      </c>
    </row>
    <row r="761" spans="1:9">
      <c r="A761" s="2" t="s">
        <v>1701</v>
      </c>
      <c r="B761" s="2" t="s">
        <v>90</v>
      </c>
      <c r="C761" s="2" t="s">
        <v>339</v>
      </c>
      <c r="D761" s="2" t="s">
        <v>67</v>
      </c>
      <c r="E761" s="2">
        <f>SUMIF('03_LOTES'!B:B, F761, '03_LOTES'!E:E)</f>
        <v>0</v>
      </c>
      <c r="F761" s="2">
        <f>A761 &amp; " | " &amp; B761 &amp; " | " &amp; C761</f>
        <v>0</v>
      </c>
      <c r="G761" s="2" t="s">
        <v>1702</v>
      </c>
      <c r="I761" s="2" t="s">
        <v>53</v>
      </c>
    </row>
    <row r="762" spans="1:9">
      <c r="A762" s="2" t="s">
        <v>1703</v>
      </c>
      <c r="B762" s="2" t="s">
        <v>1704</v>
      </c>
      <c r="C762" s="2" t="s">
        <v>77</v>
      </c>
      <c r="D762" s="2" t="s">
        <v>67</v>
      </c>
      <c r="E762" s="2">
        <f>SUMIF('03_LOTES'!B:B, F762, '03_LOTES'!E:E)</f>
        <v>0</v>
      </c>
      <c r="F762" s="2">
        <f>A762 &amp; " | " &amp; B762 &amp; " | " &amp; C762</f>
        <v>0</v>
      </c>
      <c r="G762" s="2" t="s">
        <v>1705</v>
      </c>
      <c r="I762" s="2" t="s">
        <v>53</v>
      </c>
    </row>
    <row r="763" spans="1:9">
      <c r="A763" s="2" t="s">
        <v>1706</v>
      </c>
      <c r="B763" s="2" t="s">
        <v>112</v>
      </c>
      <c r="C763" s="2" t="s">
        <v>96</v>
      </c>
      <c r="D763" s="2" t="s">
        <v>73</v>
      </c>
      <c r="E763" s="2">
        <f>SUMIF('03_LOTES'!B:B, F763, '03_LOTES'!E:E)</f>
        <v>0</v>
      </c>
      <c r="F763" s="2">
        <f>A763 &amp; " | " &amp; B763 &amp; " | " &amp; C763</f>
        <v>0</v>
      </c>
      <c r="G763" s="2" t="s">
        <v>1707</v>
      </c>
      <c r="I763" s="2" t="s">
        <v>53</v>
      </c>
    </row>
    <row r="764" spans="1:9">
      <c r="A764" s="2" t="s">
        <v>1706</v>
      </c>
      <c r="B764" s="2" t="s">
        <v>112</v>
      </c>
      <c r="C764" s="2" t="s">
        <v>77</v>
      </c>
      <c r="D764" s="2" t="s">
        <v>73</v>
      </c>
      <c r="E764" s="2">
        <f>SUMIF('03_LOTES'!B:B, F764, '03_LOTES'!E:E)</f>
        <v>0</v>
      </c>
      <c r="F764" s="2">
        <f>A764 &amp; " | " &amp; B764 &amp; " | " &amp; C764</f>
        <v>0</v>
      </c>
      <c r="G764" s="2" t="s">
        <v>1708</v>
      </c>
      <c r="I764" s="2" t="s">
        <v>53</v>
      </c>
    </row>
    <row r="765" spans="1:9">
      <c r="A765" s="2" t="s">
        <v>1709</v>
      </c>
      <c r="B765" s="2" t="s">
        <v>104</v>
      </c>
      <c r="C765" s="2" t="s">
        <v>1710</v>
      </c>
      <c r="D765" s="2" t="s">
        <v>73</v>
      </c>
      <c r="E765" s="2">
        <f>SUMIF('03_LOTES'!B:B, F765, '03_LOTES'!E:E)</f>
        <v>0</v>
      </c>
      <c r="F765" s="2">
        <f>A765 &amp; " | " &amp; B765 &amp; " | " &amp; C765</f>
        <v>0</v>
      </c>
      <c r="G765" s="2" t="s">
        <v>1711</v>
      </c>
      <c r="I765" s="2" t="s">
        <v>53</v>
      </c>
    </row>
    <row r="766" spans="1:9">
      <c r="A766" s="2" t="s">
        <v>1709</v>
      </c>
      <c r="B766" s="2" t="s">
        <v>388</v>
      </c>
      <c r="C766" s="2" t="s">
        <v>1710</v>
      </c>
      <c r="D766" s="2" t="s">
        <v>73</v>
      </c>
      <c r="E766" s="2">
        <f>SUMIF('03_LOTES'!B:B, F766, '03_LOTES'!E:E)</f>
        <v>0</v>
      </c>
      <c r="F766" s="2">
        <f>A766 &amp; " | " &amp; B766 &amp; " | " &amp; C766</f>
        <v>0</v>
      </c>
      <c r="G766" s="2" t="s">
        <v>1712</v>
      </c>
      <c r="I766" s="2" t="s">
        <v>53</v>
      </c>
    </row>
    <row r="767" spans="1:9">
      <c r="A767" s="2" t="s">
        <v>1709</v>
      </c>
      <c r="B767" s="2" t="s">
        <v>112</v>
      </c>
      <c r="C767" s="2" t="s">
        <v>219</v>
      </c>
      <c r="D767" s="2" t="s">
        <v>73</v>
      </c>
      <c r="E767" s="2">
        <f>SUMIF('03_LOTES'!B:B, F767, '03_LOTES'!E:E)</f>
        <v>0</v>
      </c>
      <c r="F767" s="2">
        <f>A767 &amp; " | " &amp; B767 &amp; " | " &amp; C767</f>
        <v>0</v>
      </c>
      <c r="G767" s="2" t="s">
        <v>1713</v>
      </c>
      <c r="I767" s="2" t="s">
        <v>53</v>
      </c>
    </row>
    <row r="768" spans="1:9">
      <c r="A768" s="2" t="s">
        <v>1709</v>
      </c>
      <c r="B768" s="2" t="s">
        <v>1714</v>
      </c>
      <c r="C768" s="2" t="s">
        <v>984</v>
      </c>
      <c r="D768" s="2" t="s">
        <v>73</v>
      </c>
      <c r="E768" s="2">
        <f>SUMIF('03_LOTES'!B:B, F768, '03_LOTES'!E:E)</f>
        <v>0</v>
      </c>
      <c r="F768" s="2">
        <f>A768 &amp; " | " &amp; B768 &amp; " | " &amp; C768</f>
        <v>0</v>
      </c>
      <c r="G768" s="2" t="s">
        <v>1715</v>
      </c>
      <c r="I768" s="2" t="s">
        <v>53</v>
      </c>
    </row>
    <row r="769" spans="1:9">
      <c r="A769" s="2" t="s">
        <v>1716</v>
      </c>
      <c r="B769" s="2" t="s">
        <v>287</v>
      </c>
      <c r="C769" s="2" t="s">
        <v>96</v>
      </c>
      <c r="D769" s="2" t="s">
        <v>73</v>
      </c>
      <c r="E769" s="2">
        <f>SUMIF('03_LOTES'!B:B, F769, '03_LOTES'!E:E)</f>
        <v>0</v>
      </c>
      <c r="F769" s="2">
        <f>A769 &amp; " | " &amp; B769 &amp; " | " &amp; C769</f>
        <v>0</v>
      </c>
      <c r="G769" s="2" t="s">
        <v>1717</v>
      </c>
      <c r="I769" s="2" t="s">
        <v>53</v>
      </c>
    </row>
    <row r="770" spans="1:9">
      <c r="A770" s="2" t="s">
        <v>1718</v>
      </c>
      <c r="B770" s="2" t="s">
        <v>225</v>
      </c>
      <c r="C770" s="2" t="s">
        <v>77</v>
      </c>
      <c r="D770" s="2" t="s">
        <v>51</v>
      </c>
      <c r="E770" s="2">
        <f>SUMIF('03_LOTES'!B:B, F770, '03_LOTES'!E:E)</f>
        <v>0</v>
      </c>
      <c r="F770" s="2">
        <f>A770 &amp; " | " &amp; B770 &amp; " | " &amp; C770</f>
        <v>0</v>
      </c>
      <c r="G770" s="2" t="s">
        <v>1719</v>
      </c>
      <c r="I770" s="2" t="s">
        <v>53</v>
      </c>
    </row>
    <row r="771" spans="1:9">
      <c r="A771" s="2" t="s">
        <v>1718</v>
      </c>
      <c r="B771" s="2" t="s">
        <v>112</v>
      </c>
      <c r="C771" s="2" t="s">
        <v>77</v>
      </c>
      <c r="D771" s="2" t="s">
        <v>51</v>
      </c>
      <c r="E771" s="2">
        <f>SUMIF('03_LOTES'!B:B, F771, '03_LOTES'!E:E)</f>
        <v>0</v>
      </c>
      <c r="F771" s="2">
        <f>A771 &amp; " | " &amp; B771 &amp; " | " &amp; C771</f>
        <v>0</v>
      </c>
      <c r="G771" s="2" t="s">
        <v>1720</v>
      </c>
      <c r="I771" s="2" t="s">
        <v>53</v>
      </c>
    </row>
    <row r="772" spans="1:9">
      <c r="A772" s="2" t="s">
        <v>1721</v>
      </c>
      <c r="B772" s="2" t="s">
        <v>1722</v>
      </c>
      <c r="C772" s="2" t="s">
        <v>1366</v>
      </c>
      <c r="D772" s="2" t="s">
        <v>73</v>
      </c>
      <c r="E772" s="2">
        <f>SUMIF('03_LOTES'!B:B, F772, '03_LOTES'!E:E)</f>
        <v>0</v>
      </c>
      <c r="F772" s="2">
        <f>A772 &amp; " | " &amp; B772 &amp; " | " &amp; C772</f>
        <v>0</v>
      </c>
      <c r="G772" s="2" t="s">
        <v>1723</v>
      </c>
      <c r="I772" s="2" t="s">
        <v>53</v>
      </c>
    </row>
    <row r="773" spans="1:9">
      <c r="A773" s="2" t="s">
        <v>1724</v>
      </c>
      <c r="B773" s="2" t="s">
        <v>1725</v>
      </c>
      <c r="C773" s="2" t="s">
        <v>96</v>
      </c>
      <c r="D773" s="2" t="s">
        <v>73</v>
      </c>
      <c r="E773" s="2">
        <f>SUMIF('03_LOTES'!B:B, F773, '03_LOTES'!E:E)</f>
        <v>0</v>
      </c>
      <c r="F773" s="2">
        <f>A773 &amp; " | " &amp; B773 &amp; " | " &amp; C773</f>
        <v>0</v>
      </c>
      <c r="G773" s="2" t="s">
        <v>1726</v>
      </c>
      <c r="I773" s="2" t="s">
        <v>53</v>
      </c>
    </row>
    <row r="774" spans="1:9">
      <c r="A774" s="2" t="s">
        <v>1727</v>
      </c>
      <c r="B774" s="2" t="s">
        <v>309</v>
      </c>
      <c r="C774" s="2" t="s">
        <v>77</v>
      </c>
      <c r="D774" s="2" t="s">
        <v>67</v>
      </c>
      <c r="E774" s="2">
        <f>SUMIF('03_LOTES'!B:B, F774, '03_LOTES'!E:E)</f>
        <v>0</v>
      </c>
      <c r="F774" s="2">
        <f>A774 &amp; " | " &amp; B774 &amp; " | " &amp; C774</f>
        <v>0</v>
      </c>
      <c r="G774" s="2" t="s">
        <v>1728</v>
      </c>
      <c r="I774" s="2" t="s">
        <v>53</v>
      </c>
    </row>
    <row r="775" spans="1:9">
      <c r="A775" s="2" t="s">
        <v>1729</v>
      </c>
      <c r="B775" s="2" t="s">
        <v>112</v>
      </c>
      <c r="C775" s="2" t="s">
        <v>77</v>
      </c>
      <c r="D775" s="2" t="s">
        <v>73</v>
      </c>
      <c r="E775" s="2">
        <f>SUMIF('03_LOTES'!B:B, F775, '03_LOTES'!E:E)</f>
        <v>0</v>
      </c>
      <c r="F775" s="2">
        <f>A775 &amp; " | " &amp; B775 &amp; " | " &amp; C775</f>
        <v>0</v>
      </c>
      <c r="G775" s="2" t="s">
        <v>1730</v>
      </c>
      <c r="I775" s="2" t="s">
        <v>53</v>
      </c>
    </row>
    <row r="776" spans="1:9">
      <c r="A776" s="2" t="s">
        <v>1729</v>
      </c>
      <c r="B776" s="2" t="s">
        <v>388</v>
      </c>
      <c r="C776" s="2" t="s">
        <v>105</v>
      </c>
      <c r="D776" s="2" t="s">
        <v>73</v>
      </c>
      <c r="E776" s="2">
        <f>SUMIF('03_LOTES'!B:B, F776, '03_LOTES'!E:E)</f>
        <v>0</v>
      </c>
      <c r="F776" s="2">
        <f>A776 &amp; " | " &amp; B776 &amp; " | " &amp; C776</f>
        <v>0</v>
      </c>
      <c r="G776" s="2" t="s">
        <v>1731</v>
      </c>
      <c r="I776" s="2" t="s">
        <v>53</v>
      </c>
    </row>
    <row r="777" spans="1:9">
      <c r="A777" s="2" t="s">
        <v>1729</v>
      </c>
      <c r="B777" s="2" t="s">
        <v>849</v>
      </c>
      <c r="C777" s="2" t="s">
        <v>105</v>
      </c>
      <c r="D777" s="2" t="s">
        <v>73</v>
      </c>
      <c r="E777" s="2">
        <f>SUMIF('03_LOTES'!B:B, F777, '03_LOTES'!E:E)</f>
        <v>0</v>
      </c>
      <c r="F777" s="2">
        <f>A777 &amp; " | " &amp; B777 &amp; " | " &amp; C777</f>
        <v>0</v>
      </c>
      <c r="G777" s="2" t="s">
        <v>1732</v>
      </c>
      <c r="I777" s="2" t="s">
        <v>53</v>
      </c>
    </row>
    <row r="778" spans="1:9">
      <c r="A778" s="2" t="s">
        <v>1733</v>
      </c>
      <c r="B778" s="2" t="s">
        <v>99</v>
      </c>
      <c r="C778" s="2" t="s">
        <v>1366</v>
      </c>
      <c r="D778" s="2" t="s">
        <v>73</v>
      </c>
      <c r="E778" s="2">
        <f>SUMIF('03_LOTES'!B:B, F778, '03_LOTES'!E:E)</f>
        <v>0</v>
      </c>
      <c r="F778" s="2">
        <f>A778 &amp; " | " &amp; B778 &amp; " | " &amp; C778</f>
        <v>0</v>
      </c>
      <c r="G778" s="2" t="s">
        <v>1734</v>
      </c>
      <c r="I778" s="2" t="s">
        <v>53</v>
      </c>
    </row>
  </sheetData>
  <autoFilter ref="A1:I1001"/>
  <dataValidations count="2">
    <dataValidation type="list" allowBlank="1" showInputMessage="1" showErrorMessage="1" sqref="D2:D1000">
      <formula1>'11_CATEGORIAS'!$B$2:$B$50</formula1>
    </dataValidation>
    <dataValidation type="list" allowBlank="1" showInputMessage="1" showErrorMessage="1" sqref="I2:I1000">
      <formula1>"ACTIVO,INACTIVO"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style="2" customWidth="1"/>
    <col min="7" max="8" width="15.7109375" style="1" customWidth="1"/>
    <col min="9" max="9" width="15.7109375" style="4" customWidth="1"/>
    <col min="10" max="11" width="18.7109375" style="2" customWidth="1"/>
  </cols>
  <sheetData>
    <row r="1" spans="1:11">
      <c r="A1" s="3" t="s">
        <v>17</v>
      </c>
      <c r="B1" s="3" t="s">
        <v>1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4</v>
      </c>
      <c r="K1" s="3" t="s">
        <v>16</v>
      </c>
    </row>
  </sheetData>
  <autoFilter ref="A1:K1001"/>
  <conditionalFormatting sqref="H2:H1000">
    <cfRule type="expression" dxfId="0" priority="1">
      <formula>AND(H2&lt;&gt;"", H2&lt;TODAY())</formula>
    </cfRule>
    <cfRule type="expression" dxfId="1" priority="2">
      <formula>AND(H2&lt;&gt;"", H2&lt;TODAY()+90, H2&gt;=TODAY())</formula>
    </cfRule>
  </conditionalFormatting>
  <dataValidations count="4">
    <dataValidation type="list" allowBlank="1" showInputMessage="1" showErrorMessage="1" sqref="B2:B1000">
      <formula1>'02_MEDICAMENTOS'!$F$2:$F$1000</formula1>
    </dataValidation>
    <dataValidation type="list" allowBlank="1" showInputMessage="1" showErrorMessage="1" sqref="F2:F1000">
      <formula1>'08_PROVEEDORES'!$B$2:$B$100</formula1>
    </dataValidation>
    <dataValidation type="list" allowBlank="1" showInputMessage="1" showErrorMessage="1" sqref="K2:K1000">
      <formula1>"ACTIVO,AGOTADO,VENCIDO"</formula1>
    </dataValidation>
    <dataValidation type="date" allowBlank="1" showInputMessage="1" showErrorMessage="1" errorTitle="❌ Fecha Inválida" error="Por favor usa el formato DD/MM/AAAA o haz doble clic para usar el calendario." promptTitle="📆 Ingresar Fecha" prompt="Haz DOBLE CLIC aquí para abrir el calendario.&#10;O escribe en formato: DD/MM/AAAA" sqref="G2:H1000">
      <formula1>36526</formula1>
      <formula2>73415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8.7109375" style="2" customWidth="1"/>
  </cols>
  <sheetData>
    <row r="1" spans="1:10">
      <c r="A1" s="3" t="s">
        <v>17</v>
      </c>
      <c r="B1" s="3" t="s">
        <v>0</v>
      </c>
      <c r="C1" s="3" t="s">
        <v>25</v>
      </c>
      <c r="D1" s="3" t="s">
        <v>26</v>
      </c>
      <c r="E1" s="3" t="s">
        <v>1</v>
      </c>
      <c r="F1" s="3" t="s">
        <v>2</v>
      </c>
      <c r="G1" s="3" t="s">
        <v>18</v>
      </c>
      <c r="H1" s="3" t="s">
        <v>27</v>
      </c>
      <c r="I1" s="3" t="s">
        <v>28</v>
      </c>
      <c r="J1" s="3" t="s">
        <v>29</v>
      </c>
    </row>
  </sheetData>
  <autoFilter ref="A1:J100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8.7109375" style="2" customWidth="1"/>
  </cols>
  <sheetData>
    <row r="1" spans="1:11">
      <c r="A1" s="3" t="s">
        <v>30</v>
      </c>
      <c r="B1" s="3" t="s">
        <v>0</v>
      </c>
      <c r="C1" s="3" t="s">
        <v>25</v>
      </c>
      <c r="D1" s="3" t="s">
        <v>1</v>
      </c>
      <c r="E1" s="3" t="s">
        <v>26</v>
      </c>
      <c r="F1" s="3" t="s">
        <v>2</v>
      </c>
      <c r="G1" s="3" t="s">
        <v>31</v>
      </c>
      <c r="H1" s="3" t="s">
        <v>32</v>
      </c>
      <c r="I1" s="3" t="s">
        <v>18</v>
      </c>
      <c r="J1" s="3" t="s">
        <v>28</v>
      </c>
      <c r="K1" s="3" t="s">
        <v>29</v>
      </c>
    </row>
  </sheetData>
  <autoFilter ref="A1:K100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8.7109375" style="2" customWidth="1"/>
  </cols>
  <sheetData>
    <row r="1" spans="1:11">
      <c r="A1" s="3" t="s">
        <v>17</v>
      </c>
      <c r="B1" s="3" t="s">
        <v>0</v>
      </c>
      <c r="C1" s="3" t="s">
        <v>33</v>
      </c>
      <c r="D1" s="3" t="s">
        <v>34</v>
      </c>
      <c r="E1" s="3" t="s">
        <v>28</v>
      </c>
      <c r="F1" s="3" t="s">
        <v>1</v>
      </c>
      <c r="G1" s="3" t="s">
        <v>2</v>
      </c>
      <c r="H1" s="3" t="s">
        <v>18</v>
      </c>
      <c r="I1" s="3" t="s">
        <v>35</v>
      </c>
      <c r="J1" s="3" t="s">
        <v>29</v>
      </c>
      <c r="K1" s="3" t="s">
        <v>16</v>
      </c>
    </row>
  </sheetData>
  <autoFilter ref="A1:K100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style="2" customWidth="1"/>
  </cols>
  <sheetData>
    <row r="1" spans="1:6">
      <c r="A1" s="3" t="s">
        <v>17</v>
      </c>
      <c r="B1" s="3" t="s">
        <v>36</v>
      </c>
      <c r="C1" s="3" t="s">
        <v>1</v>
      </c>
      <c r="D1" s="3" t="s">
        <v>2</v>
      </c>
      <c r="E1" s="3" t="s">
        <v>11</v>
      </c>
      <c r="F1" s="3" t="s">
        <v>16</v>
      </c>
    </row>
  </sheetData>
  <autoFilter ref="A1:F100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style="2" customWidth="1"/>
  </cols>
  <sheetData>
    <row r="1" spans="1:7">
      <c r="A1" s="3" t="s">
        <v>17</v>
      </c>
      <c r="B1" s="3" t="s">
        <v>21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29</v>
      </c>
    </row>
  </sheetData>
  <autoFilter ref="A1:G100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style="2" customWidth="1"/>
  </cols>
  <sheetData>
    <row r="1" spans="1:6">
      <c r="A1" s="3" t="s">
        <v>17</v>
      </c>
      <c r="B1" s="3" t="s">
        <v>41</v>
      </c>
      <c r="C1" s="3" t="s">
        <v>37</v>
      </c>
      <c r="D1" s="3" t="s">
        <v>38</v>
      </c>
      <c r="E1" s="3" t="s">
        <v>39</v>
      </c>
      <c r="F1" s="3" t="s">
        <v>29</v>
      </c>
    </row>
  </sheetData>
  <autoFilter ref="A1:F100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style="2" customWidth="1"/>
  </cols>
  <sheetData>
    <row r="1" spans="1:6">
      <c r="A1" s="3" t="s">
        <v>17</v>
      </c>
      <c r="B1" s="3" t="s">
        <v>42</v>
      </c>
      <c r="C1" s="3" t="s">
        <v>39</v>
      </c>
      <c r="D1" s="3" t="s">
        <v>43</v>
      </c>
      <c r="E1" s="3" t="s">
        <v>44</v>
      </c>
      <c r="F1" s="3" t="s">
        <v>16</v>
      </c>
    </row>
  </sheetData>
  <autoFilter ref="A1:F100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style="2" customWidth="1"/>
  </cols>
  <sheetData>
    <row r="1" spans="1:4">
      <c r="A1" s="3" t="s">
        <v>17</v>
      </c>
      <c r="B1" s="3" t="s">
        <v>11</v>
      </c>
      <c r="C1" s="3" t="s">
        <v>45</v>
      </c>
      <c r="D1" s="3" t="s">
        <v>16</v>
      </c>
    </row>
    <row r="2" spans="1:4">
      <c r="A2" s="2" t="s">
        <v>50</v>
      </c>
      <c r="B2" s="2" t="s">
        <v>51</v>
      </c>
      <c r="C2" s="2" t="s">
        <v>52</v>
      </c>
      <c r="D2" s="2" t="s">
        <v>53</v>
      </c>
    </row>
    <row r="3" spans="1:4">
      <c r="A3" s="2" t="s">
        <v>54</v>
      </c>
      <c r="B3" s="2" t="s">
        <v>55</v>
      </c>
      <c r="C3" s="2" t="s">
        <v>56</v>
      </c>
      <c r="D3" s="2" t="s">
        <v>53</v>
      </c>
    </row>
    <row r="4" spans="1:4">
      <c r="A4" s="2" t="s">
        <v>57</v>
      </c>
      <c r="B4" s="2" t="s">
        <v>58</v>
      </c>
      <c r="C4" s="2" t="s">
        <v>59</v>
      </c>
      <c r="D4" s="2" t="s">
        <v>53</v>
      </c>
    </row>
    <row r="5" spans="1:4">
      <c r="A5" s="2" t="s">
        <v>60</v>
      </c>
      <c r="B5" s="2" t="s">
        <v>61</v>
      </c>
      <c r="C5" s="2" t="s">
        <v>62</v>
      </c>
      <c r="D5" s="2" t="s">
        <v>53</v>
      </c>
    </row>
    <row r="6" spans="1:4">
      <c r="A6" s="2" t="s">
        <v>63</v>
      </c>
      <c r="B6" s="2" t="s">
        <v>64</v>
      </c>
      <c r="C6" s="2" t="s">
        <v>65</v>
      </c>
      <c r="D6" s="2" t="s">
        <v>53</v>
      </c>
    </row>
    <row r="7" spans="1:4">
      <c r="A7" s="2" t="s">
        <v>66</v>
      </c>
      <c r="B7" s="2" t="s">
        <v>67</v>
      </c>
      <c r="C7" s="2" t="s">
        <v>68</v>
      </c>
      <c r="D7" s="2" t="s">
        <v>53</v>
      </c>
    </row>
    <row r="8" spans="1:4">
      <c r="A8" s="2" t="s">
        <v>69</v>
      </c>
      <c r="B8" s="2" t="s">
        <v>70</v>
      </c>
      <c r="C8" s="2" t="s">
        <v>71</v>
      </c>
      <c r="D8" s="2" t="s">
        <v>53</v>
      </c>
    </row>
    <row r="9" spans="1:4">
      <c r="A9" s="2" t="s">
        <v>72</v>
      </c>
      <c r="B9" s="2" t="s">
        <v>73</v>
      </c>
      <c r="C9" s="2" t="s">
        <v>74</v>
      </c>
      <c r="D9" s="2" t="s">
        <v>53</v>
      </c>
    </row>
  </sheetData>
  <autoFilter ref="A1:D100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style="2" customWidth="1"/>
  </cols>
  <sheetData>
    <row r="1" spans="1:3">
      <c r="A1" s="3" t="s">
        <v>17</v>
      </c>
      <c r="B1" s="3" t="s">
        <v>4</v>
      </c>
      <c r="C1" s="3" t="s">
        <v>45</v>
      </c>
    </row>
  </sheetData>
  <autoFilter ref="A1:C100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5" t="s">
        <v>1735</v>
      </c>
      <c r="B1" s="3" t="s">
        <v>7</v>
      </c>
    </row>
    <row r="4" spans="1:2">
      <c r="A4" s="6" t="s">
        <v>1736</v>
      </c>
      <c r="B4" s="2">
        <f>COUNTA('02_MEDICAMENTOS'!A:A)-1</f>
        <v>0</v>
      </c>
    </row>
    <row r="5" spans="1:2">
      <c r="A5" s="6" t="s">
        <v>1737</v>
      </c>
      <c r="B5" s="2">
        <f>COUNTIF('03_LOTES'!K:K, "ACTIVO")</f>
        <v>0</v>
      </c>
    </row>
    <row r="6" spans="1:2">
      <c r="A6" s="6" t="s">
        <v>1738</v>
      </c>
      <c r="B6" s="2">
        <f>SUM('03_LOTES'!E:E)</f>
        <v>0</v>
      </c>
    </row>
    <row r="7" spans="1:2">
      <c r="A7" s="6" t="s">
        <v>1739</v>
      </c>
      <c r="B7" s="2">
        <f>COUNTIFS('03_LOTES'!H:H, "&lt;"&amp;TODAY(), '03_LOTES'!H:H, "&lt;&gt;")</f>
        <v>0</v>
      </c>
    </row>
  </sheetData>
  <autoFilter ref="A1:B100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style="2" customWidth="1"/>
  </cols>
  <sheetData>
    <row r="1" spans="1:4">
      <c r="A1" s="3" t="s">
        <v>0</v>
      </c>
      <c r="B1" s="3" t="s">
        <v>26</v>
      </c>
      <c r="C1" s="3" t="s">
        <v>47</v>
      </c>
      <c r="D1" s="3" t="s">
        <v>29</v>
      </c>
    </row>
  </sheetData>
  <autoFilter ref="A1:D100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style="2" customWidth="1"/>
  </cols>
  <sheetData>
    <row r="1" spans="1:5">
      <c r="A1" s="3" t="s">
        <v>0</v>
      </c>
      <c r="B1" s="3" t="s">
        <v>25</v>
      </c>
      <c r="C1" s="3" t="s">
        <v>47</v>
      </c>
      <c r="D1" s="3" t="s">
        <v>48</v>
      </c>
      <c r="E1" s="3" t="s">
        <v>49</v>
      </c>
    </row>
  </sheetData>
  <autoFilter ref="A1:E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00_DESPACHO</vt:lpstr>
      <vt:lpstr>01_CONFIG</vt:lpstr>
      <vt:lpstr>02_MEDICAMENTOS</vt:lpstr>
      <vt:lpstr>03_LOTES</vt:lpstr>
      <vt:lpstr>04_MOVIMIENTOS</vt:lpstr>
      <vt:lpstr>05_KARDEX</vt:lpstr>
      <vt:lpstr>06_BRIGADAS</vt:lpstr>
      <vt:lpstr>07_KITS</vt:lpstr>
      <vt:lpstr>08_PROVEEDORES</vt:lpstr>
      <vt:lpstr>09_DONANTES</vt:lpstr>
      <vt:lpstr>10_USUARIOS</vt:lpstr>
      <vt:lpstr>11_CATEGORIAS</vt:lpstr>
      <vt:lpstr>12_UBICACIONES</vt:lpstr>
      <vt:lpstr>13_DASHBOARD</vt:lpstr>
      <vt:lpstr>14_REPORTES</vt:lpstr>
      <vt:lpstr>15_LOG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2026-07-07T18:28:22Z</dcterms:created>
  <dcterms:modified xsi:type="dcterms:W3CDTF">2026-07-07T18:28:22Z</dcterms:modified>
</cp:coreProperties>
</file>